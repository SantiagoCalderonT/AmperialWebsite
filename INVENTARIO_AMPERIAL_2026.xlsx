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Amperial Website\AmperialWebsite\"/>
    </mc:Choice>
  </mc:AlternateContent>
  <xr:revisionPtr revIDLastSave="0" documentId="13_ncr:1_{7DFD80A2-A596-4AF4-80D1-3A7ADF6C0CC0}" xr6:coauthVersionLast="47" xr6:coauthVersionMax="47" xr10:uidLastSave="{00000000-0000-0000-0000-000000000000}"/>
  <bookViews>
    <workbookView xWindow="1905" yWindow="1905" windowWidth="11520" windowHeight="7995" xr2:uid="{00000000-000D-0000-FFFF-FFFF00000000}"/>
  </bookViews>
  <sheets>
    <sheet name="SEPTIEMBRE 2026" sheetId="1" r:id="rId1"/>
    <sheet name="OCTUBRE 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4" i="1" l="1"/>
  <c r="K4" i="1"/>
  <c r="K6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5" i="1"/>
  <c r="K7" i="1"/>
  <c r="K8" i="1"/>
  <c r="O500" i="2" l="1"/>
  <c r="J500" i="2"/>
  <c r="O499" i="2"/>
  <c r="J499" i="2"/>
  <c r="O498" i="2"/>
  <c r="J498" i="2"/>
  <c r="O497" i="2"/>
  <c r="J497" i="2"/>
  <c r="O496" i="2"/>
  <c r="J496" i="2"/>
  <c r="O495" i="2"/>
  <c r="J495" i="2"/>
  <c r="O494" i="2"/>
  <c r="J494" i="2"/>
  <c r="O493" i="2"/>
  <c r="J493" i="2"/>
  <c r="O492" i="2"/>
  <c r="J492" i="2"/>
  <c r="O491" i="2"/>
  <c r="J491" i="2"/>
  <c r="O490" i="2"/>
  <c r="J490" i="2"/>
  <c r="O489" i="2"/>
  <c r="J489" i="2"/>
  <c r="O488" i="2"/>
  <c r="J488" i="2"/>
  <c r="O487" i="2"/>
  <c r="J487" i="2"/>
  <c r="O486" i="2"/>
  <c r="J486" i="2"/>
  <c r="O485" i="2"/>
  <c r="J485" i="2"/>
  <c r="O484" i="2"/>
  <c r="J484" i="2"/>
  <c r="O483" i="2"/>
  <c r="J483" i="2"/>
  <c r="O482" i="2"/>
  <c r="J482" i="2"/>
  <c r="O481" i="2"/>
  <c r="J481" i="2"/>
  <c r="O480" i="2"/>
  <c r="J480" i="2"/>
  <c r="O479" i="2"/>
  <c r="J479" i="2"/>
  <c r="O478" i="2"/>
  <c r="J478" i="2"/>
  <c r="O477" i="2"/>
  <c r="J477" i="2"/>
  <c r="O476" i="2"/>
  <c r="J476" i="2"/>
  <c r="O475" i="2"/>
  <c r="J475" i="2"/>
  <c r="O474" i="2"/>
  <c r="J474" i="2"/>
  <c r="O473" i="2"/>
  <c r="J473" i="2"/>
  <c r="O472" i="2"/>
  <c r="J472" i="2"/>
  <c r="O471" i="2"/>
  <c r="J471" i="2"/>
  <c r="O470" i="2"/>
  <c r="J470" i="2"/>
  <c r="O469" i="2"/>
  <c r="J469" i="2"/>
  <c r="O468" i="2"/>
  <c r="J468" i="2"/>
  <c r="O467" i="2"/>
  <c r="J467" i="2"/>
  <c r="O466" i="2"/>
  <c r="J466" i="2"/>
  <c r="O465" i="2"/>
  <c r="J465" i="2"/>
  <c r="O464" i="2"/>
  <c r="J464" i="2"/>
  <c r="O463" i="2"/>
  <c r="J463" i="2"/>
  <c r="O462" i="2"/>
  <c r="J462" i="2"/>
  <c r="O461" i="2"/>
  <c r="J461" i="2"/>
  <c r="O460" i="2"/>
  <c r="J460" i="2"/>
  <c r="O459" i="2"/>
  <c r="J459" i="2"/>
  <c r="O458" i="2"/>
  <c r="J458" i="2"/>
  <c r="O457" i="2"/>
  <c r="J457" i="2"/>
  <c r="O456" i="2"/>
  <c r="J456" i="2"/>
  <c r="O455" i="2"/>
  <c r="J455" i="2"/>
  <c r="O454" i="2"/>
  <c r="J454" i="2"/>
  <c r="O453" i="2"/>
  <c r="J453" i="2"/>
  <c r="O452" i="2"/>
  <c r="J452" i="2"/>
  <c r="O451" i="2"/>
  <c r="J451" i="2"/>
  <c r="O450" i="2"/>
  <c r="J450" i="2"/>
  <c r="O449" i="2"/>
  <c r="J449" i="2"/>
  <c r="O448" i="2"/>
  <c r="J448" i="2"/>
  <c r="O447" i="2"/>
  <c r="J447" i="2"/>
  <c r="O446" i="2"/>
  <c r="J446" i="2"/>
  <c r="O445" i="2"/>
  <c r="J445" i="2"/>
  <c r="O444" i="2"/>
  <c r="J444" i="2"/>
  <c r="O443" i="2"/>
  <c r="J443" i="2"/>
  <c r="O442" i="2"/>
  <c r="J442" i="2"/>
  <c r="O441" i="2"/>
  <c r="J441" i="2"/>
  <c r="O440" i="2"/>
  <c r="J440" i="2"/>
  <c r="O439" i="2"/>
  <c r="J439" i="2"/>
  <c r="O438" i="2"/>
  <c r="J438" i="2"/>
  <c r="O437" i="2"/>
  <c r="J437" i="2"/>
  <c r="O436" i="2"/>
  <c r="J436" i="2"/>
  <c r="O435" i="2"/>
  <c r="J435" i="2"/>
  <c r="O434" i="2"/>
  <c r="J434" i="2"/>
  <c r="O433" i="2"/>
  <c r="J433" i="2"/>
  <c r="O432" i="2"/>
  <c r="J432" i="2"/>
  <c r="O431" i="2"/>
  <c r="J431" i="2"/>
  <c r="O430" i="2"/>
  <c r="J430" i="2"/>
  <c r="O429" i="2"/>
  <c r="J429" i="2"/>
  <c r="O428" i="2"/>
  <c r="J428" i="2"/>
  <c r="O427" i="2"/>
  <c r="J427" i="2"/>
  <c r="O426" i="2"/>
  <c r="J426" i="2"/>
  <c r="O425" i="2"/>
  <c r="J425" i="2"/>
  <c r="O424" i="2"/>
  <c r="J424" i="2"/>
  <c r="O423" i="2"/>
  <c r="J423" i="2"/>
  <c r="O422" i="2"/>
  <c r="J422" i="2"/>
  <c r="O421" i="2"/>
  <c r="J421" i="2"/>
  <c r="O420" i="2"/>
  <c r="J420" i="2"/>
  <c r="O419" i="2"/>
  <c r="J419" i="2"/>
  <c r="O418" i="2"/>
  <c r="J418" i="2"/>
  <c r="O417" i="2"/>
  <c r="J417" i="2"/>
  <c r="O416" i="2"/>
  <c r="J416" i="2"/>
  <c r="O415" i="2"/>
  <c r="J415" i="2"/>
  <c r="O414" i="2"/>
  <c r="J414" i="2"/>
  <c r="O413" i="2"/>
  <c r="J413" i="2"/>
  <c r="O412" i="2"/>
  <c r="J412" i="2"/>
  <c r="O411" i="2"/>
  <c r="J411" i="2"/>
  <c r="O410" i="2"/>
  <c r="J410" i="2"/>
  <c r="O409" i="2"/>
  <c r="J409" i="2"/>
  <c r="O408" i="2"/>
  <c r="J408" i="2"/>
  <c r="O407" i="2"/>
  <c r="J407" i="2"/>
  <c r="O406" i="2"/>
  <c r="J406" i="2"/>
  <c r="O405" i="2"/>
  <c r="J405" i="2"/>
  <c r="O404" i="2"/>
  <c r="J404" i="2"/>
  <c r="O403" i="2"/>
  <c r="J403" i="2"/>
  <c r="O402" i="2"/>
  <c r="J402" i="2"/>
  <c r="O401" i="2"/>
  <c r="J401" i="2"/>
  <c r="O400" i="2"/>
  <c r="J400" i="2"/>
  <c r="O399" i="2"/>
  <c r="J399" i="2"/>
  <c r="O398" i="2"/>
  <c r="J398" i="2"/>
  <c r="O397" i="2"/>
  <c r="J397" i="2"/>
  <c r="O396" i="2"/>
  <c r="J396" i="2"/>
  <c r="O395" i="2"/>
  <c r="J395" i="2"/>
  <c r="O394" i="2"/>
  <c r="J394" i="2"/>
  <c r="O393" i="2"/>
  <c r="J393" i="2"/>
  <c r="O392" i="2"/>
  <c r="J392" i="2"/>
  <c r="O391" i="2"/>
  <c r="J391" i="2"/>
  <c r="O390" i="2"/>
  <c r="J390" i="2"/>
  <c r="O389" i="2"/>
  <c r="J389" i="2"/>
  <c r="O388" i="2"/>
  <c r="J388" i="2"/>
  <c r="O387" i="2"/>
  <c r="J387" i="2"/>
  <c r="O386" i="2"/>
  <c r="J386" i="2"/>
  <c r="O385" i="2"/>
  <c r="J385" i="2"/>
  <c r="O384" i="2"/>
  <c r="J384" i="2"/>
  <c r="O383" i="2"/>
  <c r="J383" i="2"/>
  <c r="O382" i="2"/>
  <c r="J382" i="2"/>
  <c r="O381" i="2"/>
  <c r="J381" i="2"/>
  <c r="O380" i="2"/>
  <c r="J380" i="2"/>
  <c r="O379" i="2"/>
  <c r="J379" i="2"/>
  <c r="O378" i="2"/>
  <c r="J378" i="2"/>
  <c r="O377" i="2"/>
  <c r="J377" i="2"/>
  <c r="O376" i="2"/>
  <c r="J376" i="2"/>
  <c r="O375" i="2"/>
  <c r="J375" i="2"/>
  <c r="O374" i="2"/>
  <c r="J374" i="2"/>
  <c r="O373" i="2"/>
  <c r="J373" i="2"/>
  <c r="O372" i="2"/>
  <c r="J372" i="2"/>
  <c r="O371" i="2"/>
  <c r="J371" i="2"/>
  <c r="O370" i="2"/>
  <c r="J370" i="2"/>
  <c r="O369" i="2"/>
  <c r="J369" i="2"/>
  <c r="O368" i="2"/>
  <c r="J368" i="2"/>
  <c r="O367" i="2"/>
  <c r="J367" i="2"/>
  <c r="O366" i="2"/>
  <c r="J366" i="2"/>
  <c r="O365" i="2"/>
  <c r="J365" i="2"/>
  <c r="O364" i="2"/>
  <c r="J364" i="2"/>
  <c r="O363" i="2"/>
  <c r="J363" i="2"/>
  <c r="O362" i="2"/>
  <c r="J362" i="2"/>
  <c r="O361" i="2"/>
  <c r="J361" i="2"/>
  <c r="O360" i="2"/>
  <c r="J360" i="2"/>
  <c r="O359" i="2"/>
  <c r="J359" i="2"/>
  <c r="O358" i="2"/>
  <c r="J358" i="2"/>
  <c r="O357" i="2"/>
  <c r="J357" i="2"/>
  <c r="O356" i="2"/>
  <c r="J356" i="2"/>
  <c r="O355" i="2"/>
  <c r="J355" i="2"/>
  <c r="O354" i="2"/>
  <c r="J354" i="2"/>
  <c r="O353" i="2"/>
  <c r="J353" i="2"/>
  <c r="O352" i="2"/>
  <c r="J352" i="2"/>
  <c r="O351" i="2"/>
  <c r="J351" i="2"/>
  <c r="O350" i="2"/>
  <c r="J350" i="2"/>
  <c r="O349" i="2"/>
  <c r="J349" i="2"/>
  <c r="O348" i="2"/>
  <c r="J348" i="2"/>
  <c r="O347" i="2"/>
  <c r="J347" i="2"/>
  <c r="O346" i="2"/>
  <c r="J346" i="2"/>
  <c r="O345" i="2"/>
  <c r="J345" i="2"/>
  <c r="O344" i="2"/>
  <c r="J344" i="2"/>
  <c r="O343" i="2"/>
  <c r="J343" i="2"/>
  <c r="O342" i="2"/>
  <c r="J342" i="2"/>
  <c r="O341" i="2"/>
  <c r="J341" i="2"/>
  <c r="O340" i="2"/>
  <c r="J340" i="2"/>
  <c r="O339" i="2"/>
  <c r="J339" i="2"/>
  <c r="O338" i="2"/>
  <c r="J338" i="2"/>
  <c r="O337" i="2"/>
  <c r="J337" i="2"/>
  <c r="O336" i="2"/>
  <c r="J336" i="2"/>
  <c r="O335" i="2"/>
  <c r="J335" i="2"/>
  <c r="O334" i="2"/>
  <c r="J334" i="2"/>
  <c r="O333" i="2"/>
  <c r="J333" i="2"/>
  <c r="O332" i="2"/>
  <c r="J332" i="2"/>
  <c r="O331" i="2"/>
  <c r="J331" i="2"/>
  <c r="O330" i="2"/>
  <c r="J330" i="2"/>
  <c r="O329" i="2"/>
  <c r="J329" i="2"/>
  <c r="O328" i="2"/>
  <c r="J328" i="2"/>
  <c r="O327" i="2"/>
  <c r="J327" i="2"/>
  <c r="O326" i="2"/>
  <c r="J326" i="2"/>
  <c r="O325" i="2"/>
  <c r="J325" i="2"/>
  <c r="O324" i="2"/>
  <c r="J324" i="2"/>
  <c r="O323" i="2"/>
  <c r="J323" i="2"/>
  <c r="O322" i="2"/>
  <c r="J322" i="2"/>
  <c r="O321" i="2"/>
  <c r="J321" i="2"/>
  <c r="O320" i="2"/>
  <c r="J320" i="2"/>
  <c r="O319" i="2"/>
  <c r="J319" i="2"/>
  <c r="O318" i="2"/>
  <c r="J318" i="2"/>
  <c r="O317" i="2"/>
  <c r="J317" i="2"/>
  <c r="O316" i="2"/>
  <c r="J316" i="2"/>
  <c r="O315" i="2"/>
  <c r="J315" i="2"/>
  <c r="O314" i="2"/>
  <c r="J314" i="2"/>
  <c r="O313" i="2"/>
  <c r="J313" i="2"/>
  <c r="O312" i="2"/>
  <c r="J312" i="2"/>
  <c r="O311" i="2"/>
  <c r="J311" i="2"/>
  <c r="O310" i="2"/>
  <c r="J310" i="2"/>
  <c r="O309" i="2"/>
  <c r="J309" i="2"/>
  <c r="O308" i="2"/>
  <c r="J308" i="2"/>
  <c r="O307" i="2"/>
  <c r="J307" i="2"/>
  <c r="O306" i="2"/>
  <c r="J306" i="2"/>
  <c r="O305" i="2"/>
  <c r="J305" i="2"/>
  <c r="O304" i="2"/>
  <c r="J304" i="2"/>
  <c r="O303" i="2"/>
  <c r="J303" i="2"/>
  <c r="O302" i="2"/>
  <c r="J302" i="2"/>
  <c r="O301" i="2"/>
  <c r="J301" i="2"/>
  <c r="O300" i="2"/>
  <c r="J300" i="2"/>
  <c r="O299" i="2"/>
  <c r="J299" i="2"/>
  <c r="O298" i="2"/>
  <c r="J298" i="2"/>
  <c r="O297" i="2"/>
  <c r="J297" i="2"/>
  <c r="O296" i="2"/>
  <c r="J296" i="2"/>
  <c r="O295" i="2"/>
  <c r="J295" i="2"/>
  <c r="O294" i="2"/>
  <c r="J294" i="2"/>
  <c r="O293" i="2"/>
  <c r="J293" i="2"/>
  <c r="O292" i="2"/>
  <c r="J292" i="2"/>
  <c r="O291" i="2"/>
  <c r="J291" i="2"/>
  <c r="O290" i="2"/>
  <c r="J290" i="2"/>
  <c r="O289" i="2"/>
  <c r="J289" i="2"/>
  <c r="O288" i="2"/>
  <c r="J288" i="2"/>
  <c r="O287" i="2"/>
  <c r="J287" i="2"/>
  <c r="E287" i="2"/>
  <c r="F287" i="2" s="1"/>
  <c r="D287" i="2"/>
  <c r="O286" i="2"/>
  <c r="J286" i="2"/>
  <c r="E286" i="2"/>
  <c r="D286" i="2"/>
  <c r="O285" i="2"/>
  <c r="J285" i="2"/>
  <c r="E285" i="2"/>
  <c r="D285" i="2"/>
  <c r="O284" i="2"/>
  <c r="J284" i="2"/>
  <c r="F284" i="2"/>
  <c r="E284" i="2"/>
  <c r="D284" i="2"/>
  <c r="O283" i="2"/>
  <c r="J283" i="2"/>
  <c r="E283" i="2"/>
  <c r="F283" i="2" s="1"/>
  <c r="D283" i="2"/>
  <c r="O282" i="2"/>
  <c r="J282" i="2"/>
  <c r="E282" i="2"/>
  <c r="D282" i="2"/>
  <c r="O281" i="2"/>
  <c r="J281" i="2"/>
  <c r="F281" i="2"/>
  <c r="E281" i="2"/>
  <c r="D281" i="2"/>
  <c r="O280" i="2"/>
  <c r="J280" i="2"/>
  <c r="E280" i="2"/>
  <c r="D280" i="2"/>
  <c r="F280" i="2" s="1"/>
  <c r="O279" i="2"/>
  <c r="J279" i="2"/>
  <c r="E279" i="2"/>
  <c r="D279" i="2"/>
  <c r="F279" i="2" s="1"/>
  <c r="O278" i="2"/>
  <c r="J278" i="2"/>
  <c r="E278" i="2"/>
  <c r="D278" i="2"/>
  <c r="F278" i="2" s="1"/>
  <c r="O277" i="2"/>
  <c r="J277" i="2"/>
  <c r="E277" i="2"/>
  <c r="D277" i="2"/>
  <c r="O276" i="2"/>
  <c r="J276" i="2"/>
  <c r="E276" i="2"/>
  <c r="D276" i="2"/>
  <c r="F276" i="2" s="1"/>
  <c r="O275" i="2"/>
  <c r="J275" i="2"/>
  <c r="E275" i="2"/>
  <c r="D275" i="2"/>
  <c r="O274" i="2"/>
  <c r="J274" i="2"/>
  <c r="E274" i="2"/>
  <c r="D274" i="2"/>
  <c r="F274" i="2" s="1"/>
  <c r="O273" i="2"/>
  <c r="J273" i="2"/>
  <c r="E273" i="2"/>
  <c r="D273" i="2"/>
  <c r="F273" i="2" s="1"/>
  <c r="O272" i="2"/>
  <c r="J272" i="2"/>
  <c r="E272" i="2"/>
  <c r="F272" i="2" s="1"/>
  <c r="D272" i="2"/>
  <c r="O271" i="2"/>
  <c r="J271" i="2"/>
  <c r="E271" i="2"/>
  <c r="F271" i="2" s="1"/>
  <c r="D271" i="2"/>
  <c r="O270" i="2"/>
  <c r="J270" i="2"/>
  <c r="E270" i="2"/>
  <c r="D270" i="2"/>
  <c r="O269" i="2"/>
  <c r="J269" i="2"/>
  <c r="F269" i="2"/>
  <c r="E269" i="2"/>
  <c r="D269" i="2"/>
  <c r="O268" i="2"/>
  <c r="J268" i="2"/>
  <c r="E268" i="2"/>
  <c r="D268" i="2"/>
  <c r="F268" i="2" s="1"/>
  <c r="O267" i="2"/>
  <c r="J267" i="2"/>
  <c r="E267" i="2"/>
  <c r="D267" i="2"/>
  <c r="F267" i="2" s="1"/>
  <c r="O266" i="2"/>
  <c r="J266" i="2"/>
  <c r="E266" i="2"/>
  <c r="D266" i="2"/>
  <c r="F266" i="2" s="1"/>
  <c r="O265" i="2"/>
  <c r="J265" i="2"/>
  <c r="E265" i="2"/>
  <c r="D265" i="2"/>
  <c r="O264" i="2"/>
  <c r="J264" i="2"/>
  <c r="E264" i="2"/>
  <c r="D264" i="2"/>
  <c r="F264" i="2" s="1"/>
  <c r="O263" i="2"/>
  <c r="J263" i="2"/>
  <c r="E263" i="2"/>
  <c r="D263" i="2"/>
  <c r="O262" i="2"/>
  <c r="J262" i="2"/>
  <c r="E262" i="2"/>
  <c r="D262" i="2"/>
  <c r="O261" i="2"/>
  <c r="J261" i="2"/>
  <c r="E261" i="2"/>
  <c r="D261" i="2"/>
  <c r="O260" i="2"/>
  <c r="J260" i="2"/>
  <c r="F260" i="2"/>
  <c r="E260" i="2"/>
  <c r="D260" i="2"/>
  <c r="O259" i="2"/>
  <c r="J259" i="2"/>
  <c r="E259" i="2"/>
  <c r="F259" i="2" s="1"/>
  <c r="D259" i="2"/>
  <c r="O258" i="2"/>
  <c r="J258" i="2"/>
  <c r="E258" i="2"/>
  <c r="D258" i="2"/>
  <c r="O257" i="2"/>
  <c r="J257" i="2"/>
  <c r="F257" i="2"/>
  <c r="E257" i="2"/>
  <c r="D257" i="2"/>
  <c r="O256" i="2"/>
  <c r="J256" i="2"/>
  <c r="E256" i="2"/>
  <c r="D256" i="2"/>
  <c r="F256" i="2" s="1"/>
  <c r="O255" i="2"/>
  <c r="J255" i="2"/>
  <c r="E255" i="2"/>
  <c r="D255" i="2"/>
  <c r="F255" i="2" s="1"/>
  <c r="O254" i="2"/>
  <c r="J254" i="2"/>
  <c r="E254" i="2"/>
  <c r="D254" i="2"/>
  <c r="F254" i="2" s="1"/>
  <c r="O253" i="2"/>
  <c r="J253" i="2"/>
  <c r="E253" i="2"/>
  <c r="D253" i="2"/>
  <c r="O252" i="2"/>
  <c r="J252" i="2"/>
  <c r="E252" i="2"/>
  <c r="D252" i="2"/>
  <c r="F252" i="2" s="1"/>
  <c r="O251" i="2"/>
  <c r="J251" i="2"/>
  <c r="E251" i="2"/>
  <c r="D251" i="2"/>
  <c r="O250" i="2"/>
  <c r="J250" i="2"/>
  <c r="E250" i="2"/>
  <c r="D250" i="2"/>
  <c r="O249" i="2"/>
  <c r="J249" i="2"/>
  <c r="E249" i="2"/>
  <c r="D249" i="2"/>
  <c r="F249" i="2" s="1"/>
  <c r="O248" i="2"/>
  <c r="J248" i="2"/>
  <c r="E248" i="2"/>
  <c r="D248" i="2"/>
  <c r="F248" i="2" s="1"/>
  <c r="O247" i="2"/>
  <c r="J247" i="2"/>
  <c r="E247" i="2"/>
  <c r="F247" i="2" s="1"/>
  <c r="D247" i="2"/>
  <c r="O246" i="2"/>
  <c r="J246" i="2"/>
  <c r="E246" i="2"/>
  <c r="D246" i="2"/>
  <c r="O245" i="2"/>
  <c r="J245" i="2"/>
  <c r="F245" i="2"/>
  <c r="E245" i="2"/>
  <c r="D245" i="2"/>
  <c r="O244" i="2"/>
  <c r="J244" i="2"/>
  <c r="F244" i="2"/>
  <c r="E244" i="2"/>
  <c r="D244" i="2"/>
  <c r="O243" i="2"/>
  <c r="J243" i="2"/>
  <c r="E243" i="2"/>
  <c r="D243" i="2"/>
  <c r="O242" i="2"/>
  <c r="J242" i="2"/>
  <c r="E242" i="2"/>
  <c r="D242" i="2"/>
  <c r="O241" i="2"/>
  <c r="J241" i="2"/>
  <c r="E241" i="2"/>
  <c r="F241" i="2" s="1"/>
  <c r="D241" i="2"/>
  <c r="O240" i="2"/>
  <c r="J240" i="2"/>
  <c r="E240" i="2"/>
  <c r="D240" i="2"/>
  <c r="O239" i="2"/>
  <c r="J239" i="2"/>
  <c r="E239" i="2"/>
  <c r="F239" i="2" s="1"/>
  <c r="D239" i="2"/>
  <c r="O238" i="2"/>
  <c r="J238" i="2"/>
  <c r="E238" i="2"/>
  <c r="F238" i="2" s="1"/>
  <c r="D238" i="2"/>
  <c r="O237" i="2"/>
  <c r="J237" i="2"/>
  <c r="E237" i="2"/>
  <c r="D237" i="2"/>
  <c r="O236" i="2"/>
  <c r="J236" i="2"/>
  <c r="E236" i="2"/>
  <c r="D236" i="2"/>
  <c r="F236" i="2" s="1"/>
  <c r="O235" i="2"/>
  <c r="J235" i="2"/>
  <c r="E235" i="2"/>
  <c r="D235" i="2"/>
  <c r="O234" i="2"/>
  <c r="J234" i="2"/>
  <c r="E234" i="2"/>
  <c r="D234" i="2"/>
  <c r="F234" i="2" s="1"/>
  <c r="O233" i="2"/>
  <c r="J233" i="2"/>
  <c r="E233" i="2"/>
  <c r="D233" i="2"/>
  <c r="F233" i="2" s="1"/>
  <c r="O232" i="2"/>
  <c r="J232" i="2"/>
  <c r="F232" i="2"/>
  <c r="E232" i="2"/>
  <c r="D232" i="2"/>
  <c r="O231" i="2"/>
  <c r="J231" i="2"/>
  <c r="E231" i="2"/>
  <c r="D231" i="2"/>
  <c r="F231" i="2" s="1"/>
  <c r="O230" i="2"/>
  <c r="J230" i="2"/>
  <c r="E230" i="2"/>
  <c r="D230" i="2"/>
  <c r="F230" i="2" s="1"/>
  <c r="O229" i="2"/>
  <c r="J229" i="2"/>
  <c r="E229" i="2"/>
  <c r="D229" i="2"/>
  <c r="O228" i="2"/>
  <c r="J228" i="2"/>
  <c r="E228" i="2"/>
  <c r="D228" i="2"/>
  <c r="F228" i="2" s="1"/>
  <c r="O227" i="2"/>
  <c r="J227" i="2"/>
  <c r="E227" i="2"/>
  <c r="D227" i="2"/>
  <c r="O226" i="2"/>
  <c r="J226" i="2"/>
  <c r="E226" i="2"/>
  <c r="D226" i="2"/>
  <c r="O225" i="2"/>
  <c r="J225" i="2"/>
  <c r="E225" i="2"/>
  <c r="D225" i="2"/>
  <c r="F225" i="2" s="1"/>
  <c r="O224" i="2"/>
  <c r="J224" i="2"/>
  <c r="E224" i="2"/>
  <c r="F224" i="2" s="1"/>
  <c r="D224" i="2"/>
  <c r="O223" i="2"/>
  <c r="J223" i="2"/>
  <c r="E223" i="2"/>
  <c r="F223" i="2" s="1"/>
  <c r="D223" i="2"/>
  <c r="O222" i="2"/>
  <c r="J222" i="2"/>
  <c r="E222" i="2"/>
  <c r="D222" i="2"/>
  <c r="O221" i="2"/>
  <c r="J221" i="2"/>
  <c r="E221" i="2"/>
  <c r="D221" i="2"/>
  <c r="F221" i="2" s="1"/>
  <c r="O220" i="2"/>
  <c r="J220" i="2"/>
  <c r="E220" i="2"/>
  <c r="D220" i="2"/>
  <c r="F220" i="2" s="1"/>
  <c r="O219" i="2"/>
  <c r="J219" i="2"/>
  <c r="E219" i="2"/>
  <c r="D219" i="2"/>
  <c r="O218" i="2"/>
  <c r="J218" i="2"/>
  <c r="E218" i="2"/>
  <c r="D218" i="2"/>
  <c r="O217" i="2"/>
  <c r="J217" i="2"/>
  <c r="E217" i="2"/>
  <c r="F217" i="2" s="1"/>
  <c r="D217" i="2"/>
  <c r="O216" i="2"/>
  <c r="J216" i="2"/>
  <c r="E216" i="2"/>
  <c r="D216" i="2"/>
  <c r="O215" i="2"/>
  <c r="J215" i="2"/>
  <c r="E215" i="2"/>
  <c r="F215" i="2" s="1"/>
  <c r="D215" i="2"/>
  <c r="O214" i="2"/>
  <c r="J214" i="2"/>
  <c r="E214" i="2"/>
  <c r="F214" i="2" s="1"/>
  <c r="D214" i="2"/>
  <c r="O213" i="2"/>
  <c r="J213" i="2"/>
  <c r="E213" i="2"/>
  <c r="D213" i="2"/>
  <c r="O212" i="2"/>
  <c r="J212" i="2"/>
  <c r="F212" i="2"/>
  <c r="E212" i="2"/>
  <c r="D212" i="2"/>
  <c r="O211" i="2"/>
  <c r="J211" i="2"/>
  <c r="E211" i="2"/>
  <c r="D211" i="2"/>
  <c r="O210" i="2"/>
  <c r="J210" i="2"/>
  <c r="E210" i="2"/>
  <c r="D210" i="2"/>
  <c r="O209" i="2"/>
  <c r="J209" i="2"/>
  <c r="F209" i="2"/>
  <c r="E209" i="2"/>
  <c r="D209" i="2"/>
  <c r="O208" i="2"/>
  <c r="J208" i="2"/>
  <c r="E208" i="2"/>
  <c r="D208" i="2"/>
  <c r="F208" i="2" s="1"/>
  <c r="O207" i="2"/>
  <c r="J207" i="2"/>
  <c r="E207" i="2"/>
  <c r="D207" i="2"/>
  <c r="F207" i="2" s="1"/>
  <c r="O206" i="2"/>
  <c r="J206" i="2"/>
  <c r="E206" i="2"/>
  <c r="D206" i="2"/>
  <c r="F206" i="2" s="1"/>
  <c r="O205" i="2"/>
  <c r="J205" i="2"/>
  <c r="E205" i="2"/>
  <c r="D205" i="2"/>
  <c r="O204" i="2"/>
  <c r="J204" i="2"/>
  <c r="E204" i="2"/>
  <c r="D204" i="2"/>
  <c r="F204" i="2" s="1"/>
  <c r="O203" i="2"/>
  <c r="J203" i="2"/>
  <c r="E203" i="2"/>
  <c r="D203" i="2"/>
  <c r="O202" i="2"/>
  <c r="J202" i="2"/>
  <c r="E202" i="2"/>
  <c r="D202" i="2"/>
  <c r="O201" i="2"/>
  <c r="J201" i="2"/>
  <c r="E201" i="2"/>
  <c r="D201" i="2"/>
  <c r="F201" i="2" s="1"/>
  <c r="O200" i="2"/>
  <c r="J200" i="2"/>
  <c r="E200" i="2"/>
  <c r="D200" i="2"/>
  <c r="F200" i="2" s="1"/>
  <c r="O199" i="2"/>
  <c r="J199" i="2"/>
  <c r="E199" i="2"/>
  <c r="F199" i="2" s="1"/>
  <c r="D199" i="2"/>
  <c r="O198" i="2"/>
  <c r="J198" i="2"/>
  <c r="E198" i="2"/>
  <c r="D198" i="2"/>
  <c r="O197" i="2"/>
  <c r="J197" i="2"/>
  <c r="F197" i="2"/>
  <c r="E197" i="2"/>
  <c r="D197" i="2"/>
  <c r="O196" i="2"/>
  <c r="J196" i="2"/>
  <c r="F196" i="2"/>
  <c r="E196" i="2"/>
  <c r="D196" i="2"/>
  <c r="O195" i="2"/>
  <c r="J195" i="2"/>
  <c r="E195" i="2"/>
  <c r="D195" i="2"/>
  <c r="O194" i="2"/>
  <c r="J194" i="2"/>
  <c r="E194" i="2"/>
  <c r="D194" i="2"/>
  <c r="O193" i="2"/>
  <c r="J193" i="2"/>
  <c r="E193" i="2"/>
  <c r="F193" i="2" s="1"/>
  <c r="D193" i="2"/>
  <c r="O192" i="2"/>
  <c r="J192" i="2"/>
  <c r="E192" i="2"/>
  <c r="D192" i="2"/>
  <c r="O191" i="2"/>
  <c r="J191" i="2"/>
  <c r="E191" i="2"/>
  <c r="F191" i="2" s="1"/>
  <c r="D191" i="2"/>
  <c r="O190" i="2"/>
  <c r="J190" i="2"/>
  <c r="E190" i="2"/>
  <c r="F190" i="2" s="1"/>
  <c r="D190" i="2"/>
  <c r="O189" i="2"/>
  <c r="J189" i="2"/>
  <c r="E189" i="2"/>
  <c r="D189" i="2"/>
  <c r="O188" i="2"/>
  <c r="J188" i="2"/>
  <c r="E188" i="2"/>
  <c r="D188" i="2"/>
  <c r="F188" i="2" s="1"/>
  <c r="O187" i="2"/>
  <c r="J187" i="2"/>
  <c r="E187" i="2"/>
  <c r="D187" i="2"/>
  <c r="O186" i="2"/>
  <c r="J186" i="2"/>
  <c r="E186" i="2"/>
  <c r="D186" i="2"/>
  <c r="F186" i="2" s="1"/>
  <c r="O185" i="2"/>
  <c r="J185" i="2"/>
  <c r="E185" i="2"/>
  <c r="D185" i="2"/>
  <c r="F185" i="2" s="1"/>
  <c r="O184" i="2"/>
  <c r="J184" i="2"/>
  <c r="F184" i="2"/>
  <c r="E184" i="2"/>
  <c r="D184" i="2"/>
  <c r="O183" i="2"/>
  <c r="J183" i="2"/>
  <c r="E183" i="2"/>
  <c r="D183" i="2"/>
  <c r="O182" i="2"/>
  <c r="J182" i="2"/>
  <c r="E182" i="2"/>
  <c r="D182" i="2"/>
  <c r="O181" i="2"/>
  <c r="J181" i="2"/>
  <c r="E181" i="2"/>
  <c r="F181" i="2" s="1"/>
  <c r="D181" i="2"/>
  <c r="O180" i="2"/>
  <c r="J180" i="2"/>
  <c r="E180" i="2"/>
  <c r="D180" i="2"/>
  <c r="O179" i="2"/>
  <c r="J179" i="2"/>
  <c r="E179" i="2"/>
  <c r="F179" i="2" s="1"/>
  <c r="D179" i="2"/>
  <c r="O178" i="2"/>
  <c r="J178" i="2"/>
  <c r="E178" i="2"/>
  <c r="D178" i="2"/>
  <c r="O177" i="2"/>
  <c r="J177" i="2"/>
  <c r="E177" i="2"/>
  <c r="D177" i="2"/>
  <c r="O176" i="2"/>
  <c r="J176" i="2"/>
  <c r="F176" i="2"/>
  <c r="E176" i="2"/>
  <c r="D176" i="2"/>
  <c r="O175" i="2"/>
  <c r="J175" i="2"/>
  <c r="E175" i="2"/>
  <c r="F175" i="2" s="1"/>
  <c r="D175" i="2"/>
  <c r="O174" i="2"/>
  <c r="J174" i="2"/>
  <c r="E174" i="2"/>
  <c r="D174" i="2"/>
  <c r="O173" i="2"/>
  <c r="J173" i="2"/>
  <c r="E173" i="2"/>
  <c r="D173" i="2"/>
  <c r="F173" i="2" s="1"/>
  <c r="O172" i="2"/>
  <c r="J172" i="2"/>
  <c r="E172" i="2"/>
  <c r="D172" i="2"/>
  <c r="F172" i="2" s="1"/>
  <c r="O171" i="2"/>
  <c r="J171" i="2"/>
  <c r="E171" i="2"/>
  <c r="D171" i="2"/>
  <c r="O170" i="2"/>
  <c r="J170" i="2"/>
  <c r="E170" i="2"/>
  <c r="D170" i="2"/>
  <c r="O169" i="2"/>
  <c r="J169" i="2"/>
  <c r="E169" i="2"/>
  <c r="F169" i="2" s="1"/>
  <c r="D169" i="2"/>
  <c r="O168" i="2"/>
  <c r="J168" i="2"/>
  <c r="E168" i="2"/>
  <c r="D168" i="2"/>
  <c r="O167" i="2"/>
  <c r="J167" i="2"/>
  <c r="F167" i="2"/>
  <c r="E167" i="2"/>
  <c r="D167" i="2"/>
  <c r="O166" i="2"/>
  <c r="J166" i="2"/>
  <c r="E166" i="2"/>
  <c r="D166" i="2"/>
  <c r="O165" i="2"/>
  <c r="J165" i="2"/>
  <c r="E165" i="2"/>
  <c r="D165" i="2"/>
  <c r="O164" i="2"/>
  <c r="J164" i="2"/>
  <c r="F164" i="2"/>
  <c r="E164" i="2"/>
  <c r="D164" i="2"/>
  <c r="O163" i="2"/>
  <c r="J163" i="2"/>
  <c r="E163" i="2"/>
  <c r="F163" i="2" s="1"/>
  <c r="D163" i="2"/>
  <c r="O162" i="2"/>
  <c r="J162" i="2"/>
  <c r="E162" i="2"/>
  <c r="D162" i="2"/>
  <c r="O161" i="2"/>
  <c r="J161" i="2"/>
  <c r="E161" i="2"/>
  <c r="D161" i="2"/>
  <c r="F161" i="2" s="1"/>
  <c r="O160" i="2"/>
  <c r="J160" i="2"/>
  <c r="E160" i="2"/>
  <c r="D160" i="2"/>
  <c r="F160" i="2" s="1"/>
  <c r="O159" i="2"/>
  <c r="J159" i="2"/>
  <c r="E159" i="2"/>
  <c r="D159" i="2"/>
  <c r="O158" i="2"/>
  <c r="J158" i="2"/>
  <c r="E158" i="2"/>
  <c r="D158" i="2"/>
  <c r="O157" i="2"/>
  <c r="J157" i="2"/>
  <c r="E157" i="2"/>
  <c r="F157" i="2" s="1"/>
  <c r="D157" i="2"/>
  <c r="O156" i="2"/>
  <c r="J156" i="2"/>
  <c r="E156" i="2"/>
  <c r="D156" i="2"/>
  <c r="O155" i="2"/>
  <c r="J155" i="2"/>
  <c r="F155" i="2"/>
  <c r="E155" i="2"/>
  <c r="D155" i="2"/>
  <c r="O154" i="2"/>
  <c r="J154" i="2"/>
  <c r="E154" i="2"/>
  <c r="D154" i="2"/>
  <c r="O153" i="2"/>
  <c r="J153" i="2"/>
  <c r="E153" i="2"/>
  <c r="D153" i="2"/>
  <c r="O152" i="2"/>
  <c r="J152" i="2"/>
  <c r="F152" i="2"/>
  <c r="E152" i="2"/>
  <c r="D152" i="2"/>
  <c r="O151" i="2"/>
  <c r="J151" i="2"/>
  <c r="E151" i="2"/>
  <c r="F151" i="2" s="1"/>
  <c r="D151" i="2"/>
  <c r="O150" i="2"/>
  <c r="J150" i="2"/>
  <c r="E150" i="2"/>
  <c r="D150" i="2"/>
  <c r="O149" i="2"/>
  <c r="J149" i="2"/>
  <c r="E149" i="2"/>
  <c r="D149" i="2"/>
  <c r="F149" i="2" s="1"/>
  <c r="O148" i="2"/>
  <c r="J148" i="2"/>
  <c r="E148" i="2"/>
  <c r="D148" i="2"/>
  <c r="O147" i="2"/>
  <c r="J147" i="2"/>
  <c r="E147" i="2"/>
  <c r="D147" i="2"/>
  <c r="F147" i="2" s="1"/>
  <c r="O146" i="2"/>
  <c r="J146" i="2"/>
  <c r="E146" i="2"/>
  <c r="D146" i="2"/>
  <c r="F146" i="2" s="1"/>
  <c r="O145" i="2"/>
  <c r="J145" i="2"/>
  <c r="E145" i="2"/>
  <c r="D145" i="2"/>
  <c r="O144" i="2"/>
  <c r="J144" i="2"/>
  <c r="E144" i="2"/>
  <c r="D144" i="2"/>
  <c r="F144" i="2" s="1"/>
  <c r="O143" i="2"/>
  <c r="J143" i="2"/>
  <c r="E143" i="2"/>
  <c r="D143" i="2"/>
  <c r="F143" i="2" s="1"/>
  <c r="O142" i="2"/>
  <c r="J142" i="2"/>
  <c r="E142" i="2"/>
  <c r="D142" i="2"/>
  <c r="O141" i="2"/>
  <c r="J141" i="2"/>
  <c r="E141" i="2"/>
  <c r="D141" i="2"/>
  <c r="O140" i="2"/>
  <c r="J140" i="2"/>
  <c r="F140" i="2"/>
  <c r="E140" i="2"/>
  <c r="D140" i="2"/>
  <c r="O139" i="2"/>
  <c r="J139" i="2"/>
  <c r="E139" i="2"/>
  <c r="F139" i="2" s="1"/>
  <c r="D139" i="2"/>
  <c r="O138" i="2"/>
  <c r="J138" i="2"/>
  <c r="E138" i="2"/>
  <c r="D138" i="2"/>
  <c r="O137" i="2"/>
  <c r="J137" i="2"/>
  <c r="F137" i="2"/>
  <c r="E137" i="2"/>
  <c r="D137" i="2"/>
  <c r="O136" i="2"/>
  <c r="J136" i="2"/>
  <c r="E136" i="2"/>
  <c r="D136" i="2"/>
  <c r="O135" i="2"/>
  <c r="J135" i="2"/>
  <c r="E135" i="2"/>
  <c r="D135" i="2"/>
  <c r="O134" i="2"/>
  <c r="J134" i="2"/>
  <c r="E134" i="2"/>
  <c r="D134" i="2"/>
  <c r="F134" i="2" s="1"/>
  <c r="O133" i="2"/>
  <c r="J133" i="2"/>
  <c r="E133" i="2"/>
  <c r="D133" i="2"/>
  <c r="O132" i="2"/>
  <c r="J132" i="2"/>
  <c r="E132" i="2"/>
  <c r="D132" i="2"/>
  <c r="F132" i="2" s="1"/>
  <c r="O131" i="2"/>
  <c r="J131" i="2"/>
  <c r="E131" i="2"/>
  <c r="D131" i="2"/>
  <c r="F131" i="2" s="1"/>
  <c r="O130" i="2"/>
  <c r="J130" i="2"/>
  <c r="E130" i="2"/>
  <c r="D130" i="2"/>
  <c r="O129" i="2"/>
  <c r="J129" i="2"/>
  <c r="E129" i="2"/>
  <c r="D129" i="2"/>
  <c r="O128" i="2"/>
  <c r="J128" i="2"/>
  <c r="F128" i="2"/>
  <c r="E128" i="2"/>
  <c r="D128" i="2"/>
  <c r="O127" i="2"/>
  <c r="J127" i="2"/>
  <c r="E127" i="2"/>
  <c r="F127" i="2" s="1"/>
  <c r="D127" i="2"/>
  <c r="O126" i="2"/>
  <c r="J126" i="2"/>
  <c r="E126" i="2"/>
  <c r="D126" i="2"/>
  <c r="O125" i="2"/>
  <c r="J125" i="2"/>
  <c r="F125" i="2"/>
  <c r="E125" i="2"/>
  <c r="D125" i="2"/>
  <c r="O124" i="2"/>
  <c r="J124" i="2"/>
  <c r="E124" i="2"/>
  <c r="D124" i="2"/>
  <c r="O123" i="2"/>
  <c r="J123" i="2"/>
  <c r="E123" i="2"/>
  <c r="D123" i="2"/>
  <c r="O122" i="2"/>
  <c r="J122" i="2"/>
  <c r="E122" i="2"/>
  <c r="D122" i="2"/>
  <c r="F122" i="2" s="1"/>
  <c r="O121" i="2"/>
  <c r="J121" i="2"/>
  <c r="E121" i="2"/>
  <c r="D121" i="2"/>
  <c r="O120" i="2"/>
  <c r="J120" i="2"/>
  <c r="E120" i="2"/>
  <c r="D120" i="2"/>
  <c r="F120" i="2" s="1"/>
  <c r="O119" i="2"/>
  <c r="J119" i="2"/>
  <c r="E119" i="2"/>
  <c r="D119" i="2"/>
  <c r="F119" i="2" s="1"/>
  <c r="O118" i="2"/>
  <c r="J118" i="2"/>
  <c r="E118" i="2"/>
  <c r="D118" i="2"/>
  <c r="O117" i="2"/>
  <c r="J117" i="2"/>
  <c r="E117" i="2"/>
  <c r="D117" i="2"/>
  <c r="O116" i="2"/>
  <c r="J116" i="2"/>
  <c r="F116" i="2"/>
  <c r="E116" i="2"/>
  <c r="D116" i="2"/>
  <c r="O115" i="2"/>
  <c r="J115" i="2"/>
  <c r="E115" i="2"/>
  <c r="F115" i="2" s="1"/>
  <c r="D115" i="2"/>
  <c r="O114" i="2"/>
  <c r="J114" i="2"/>
  <c r="E114" i="2"/>
  <c r="D114" i="2"/>
  <c r="O113" i="2"/>
  <c r="J113" i="2"/>
  <c r="E113" i="2"/>
  <c r="F113" i="2" s="1"/>
  <c r="D113" i="2"/>
  <c r="O112" i="2"/>
  <c r="J112" i="2"/>
  <c r="E112" i="2"/>
  <c r="D112" i="2"/>
  <c r="O111" i="2"/>
  <c r="J111" i="2"/>
  <c r="E111" i="2"/>
  <c r="D111" i="2"/>
  <c r="O110" i="2"/>
  <c r="J110" i="2"/>
  <c r="F110" i="2"/>
  <c r="E110" i="2"/>
  <c r="D110" i="2"/>
  <c r="O109" i="2"/>
  <c r="J109" i="2"/>
  <c r="E109" i="2"/>
  <c r="F109" i="2" s="1"/>
  <c r="D109" i="2"/>
  <c r="O108" i="2"/>
  <c r="J108" i="2"/>
  <c r="E108" i="2"/>
  <c r="D108" i="2"/>
  <c r="O107" i="2"/>
  <c r="J107" i="2"/>
  <c r="E107" i="2"/>
  <c r="D107" i="2"/>
  <c r="F107" i="2" s="1"/>
  <c r="O106" i="2"/>
  <c r="J106" i="2"/>
  <c r="E106" i="2"/>
  <c r="D106" i="2"/>
  <c r="F106" i="2" s="1"/>
  <c r="O105" i="2"/>
  <c r="J105" i="2"/>
  <c r="E105" i="2"/>
  <c r="D105" i="2"/>
  <c r="F105" i="2" s="1"/>
  <c r="O104" i="2"/>
  <c r="J104" i="2"/>
  <c r="E104" i="2"/>
  <c r="D104" i="2"/>
  <c r="F104" i="2" s="1"/>
  <c r="O103" i="2"/>
  <c r="J103" i="2"/>
  <c r="E103" i="2"/>
  <c r="F103" i="2" s="1"/>
  <c r="D103" i="2"/>
  <c r="O102" i="2"/>
  <c r="J102" i="2"/>
  <c r="E102" i="2"/>
  <c r="D102" i="2"/>
  <c r="O101" i="2"/>
  <c r="J101" i="2"/>
  <c r="E101" i="2"/>
  <c r="F101" i="2" s="1"/>
  <c r="D101" i="2"/>
  <c r="O100" i="2"/>
  <c r="J100" i="2"/>
  <c r="E100" i="2"/>
  <c r="D100" i="2"/>
  <c r="O99" i="2"/>
  <c r="J99" i="2"/>
  <c r="E99" i="2"/>
  <c r="D99" i="2"/>
  <c r="O98" i="2"/>
  <c r="J98" i="2"/>
  <c r="F98" i="2"/>
  <c r="E98" i="2"/>
  <c r="D98" i="2"/>
  <c r="O97" i="2"/>
  <c r="J97" i="2"/>
  <c r="E97" i="2"/>
  <c r="F97" i="2" s="1"/>
  <c r="D97" i="2"/>
  <c r="O96" i="2"/>
  <c r="J96" i="2"/>
  <c r="E96" i="2"/>
  <c r="D96" i="2"/>
  <c r="O95" i="2"/>
  <c r="J95" i="2"/>
  <c r="F95" i="2"/>
  <c r="E95" i="2"/>
  <c r="D95" i="2"/>
  <c r="O94" i="2"/>
  <c r="J94" i="2"/>
  <c r="E94" i="2"/>
  <c r="D94" i="2"/>
  <c r="O93" i="2"/>
  <c r="J93" i="2"/>
  <c r="E93" i="2"/>
  <c r="D93" i="2"/>
  <c r="O92" i="2"/>
  <c r="J92" i="2"/>
  <c r="E92" i="2"/>
  <c r="D92" i="2"/>
  <c r="F92" i="2" s="1"/>
  <c r="O91" i="2"/>
  <c r="J91" i="2"/>
  <c r="E91" i="2"/>
  <c r="D91" i="2"/>
  <c r="O90" i="2"/>
  <c r="J90" i="2"/>
  <c r="E90" i="2"/>
  <c r="D90" i="2"/>
  <c r="F90" i="2" s="1"/>
  <c r="O89" i="2"/>
  <c r="J89" i="2"/>
  <c r="E89" i="2"/>
  <c r="D89" i="2"/>
  <c r="F89" i="2" s="1"/>
  <c r="O88" i="2"/>
  <c r="J88" i="2"/>
  <c r="E88" i="2"/>
  <c r="D88" i="2"/>
  <c r="F88" i="2" s="1"/>
  <c r="O87" i="2"/>
  <c r="J87" i="2"/>
  <c r="E87" i="2"/>
  <c r="D87" i="2"/>
  <c r="F87" i="2" s="1"/>
  <c r="O86" i="2"/>
  <c r="J86" i="2"/>
  <c r="E86" i="2"/>
  <c r="D86" i="2"/>
  <c r="F86" i="2" s="1"/>
  <c r="O85" i="2"/>
  <c r="J85" i="2"/>
  <c r="E85" i="2"/>
  <c r="F85" i="2" s="1"/>
  <c r="D85" i="2"/>
  <c r="O84" i="2"/>
  <c r="J84" i="2"/>
  <c r="E84" i="2"/>
  <c r="D84" i="2"/>
  <c r="O83" i="2"/>
  <c r="J83" i="2"/>
  <c r="F83" i="2"/>
  <c r="E83" i="2"/>
  <c r="D83" i="2"/>
  <c r="O82" i="2"/>
  <c r="J82" i="2"/>
  <c r="E82" i="2"/>
  <c r="D82" i="2"/>
  <c r="O81" i="2"/>
  <c r="J81" i="2"/>
  <c r="E81" i="2"/>
  <c r="D81" i="2"/>
  <c r="O80" i="2"/>
  <c r="J80" i="2"/>
  <c r="F80" i="2"/>
  <c r="E80" i="2"/>
  <c r="D80" i="2"/>
  <c r="O79" i="2"/>
  <c r="J79" i="2"/>
  <c r="E79" i="2"/>
  <c r="F79" i="2" s="1"/>
  <c r="D79" i="2"/>
  <c r="O78" i="2"/>
  <c r="J78" i="2"/>
  <c r="E78" i="2"/>
  <c r="D78" i="2"/>
  <c r="O77" i="2"/>
  <c r="J77" i="2"/>
  <c r="E77" i="2"/>
  <c r="D77" i="2"/>
  <c r="O76" i="2"/>
  <c r="J76" i="2"/>
  <c r="E76" i="2"/>
  <c r="D76" i="2"/>
  <c r="O75" i="2"/>
  <c r="J75" i="2"/>
  <c r="E75" i="2"/>
  <c r="D75" i="2"/>
  <c r="O74" i="2"/>
  <c r="J74" i="2"/>
  <c r="E74" i="2"/>
  <c r="D74" i="2"/>
  <c r="F74" i="2" s="1"/>
  <c r="O73" i="2"/>
  <c r="J73" i="2"/>
  <c r="E73" i="2"/>
  <c r="D73" i="2"/>
  <c r="O72" i="2"/>
  <c r="J72" i="2"/>
  <c r="E72" i="2"/>
  <c r="D72" i="2"/>
  <c r="F72" i="2" s="1"/>
  <c r="O71" i="2"/>
  <c r="J71" i="2"/>
  <c r="E71" i="2"/>
  <c r="D71" i="2"/>
  <c r="F71" i="2" s="1"/>
  <c r="O70" i="2"/>
  <c r="J70" i="2"/>
  <c r="E70" i="2"/>
  <c r="D70" i="2"/>
  <c r="O69" i="2"/>
  <c r="J69" i="2"/>
  <c r="E69" i="2"/>
  <c r="D69" i="2"/>
  <c r="O68" i="2"/>
  <c r="J68" i="2"/>
  <c r="F68" i="2"/>
  <c r="E68" i="2"/>
  <c r="D68" i="2"/>
  <c r="O67" i="2"/>
  <c r="J67" i="2"/>
  <c r="E67" i="2"/>
  <c r="F67" i="2" s="1"/>
  <c r="D67" i="2"/>
  <c r="O66" i="2"/>
  <c r="J66" i="2"/>
  <c r="E66" i="2"/>
  <c r="D66" i="2"/>
  <c r="O65" i="2"/>
  <c r="J65" i="2"/>
  <c r="E65" i="2"/>
  <c r="D65" i="2"/>
  <c r="O64" i="2"/>
  <c r="J64" i="2"/>
  <c r="E64" i="2"/>
  <c r="D64" i="2"/>
  <c r="O63" i="2"/>
  <c r="J63" i="2"/>
  <c r="E63" i="2"/>
  <c r="D63" i="2"/>
  <c r="O62" i="2"/>
  <c r="J62" i="2"/>
  <c r="F62" i="2"/>
  <c r="E62" i="2"/>
  <c r="D62" i="2"/>
  <c r="O61" i="2"/>
  <c r="J61" i="2"/>
  <c r="E61" i="2"/>
  <c r="F61" i="2" s="1"/>
  <c r="D61" i="2"/>
  <c r="O60" i="2"/>
  <c r="J60" i="2"/>
  <c r="E60" i="2"/>
  <c r="D60" i="2"/>
  <c r="O59" i="2"/>
  <c r="J59" i="2"/>
  <c r="E59" i="2"/>
  <c r="F59" i="2" s="1"/>
  <c r="D59" i="2"/>
  <c r="O58" i="2"/>
  <c r="J58" i="2"/>
  <c r="E58" i="2"/>
  <c r="D58" i="2"/>
  <c r="O57" i="2"/>
  <c r="J57" i="2"/>
  <c r="E57" i="2"/>
  <c r="D57" i="2"/>
  <c r="O56" i="2"/>
  <c r="J56" i="2"/>
  <c r="E56" i="2"/>
  <c r="D56" i="2"/>
  <c r="F56" i="2" s="1"/>
  <c r="O55" i="2"/>
  <c r="J55" i="2"/>
  <c r="E55" i="2"/>
  <c r="D55" i="2"/>
  <c r="O54" i="2"/>
  <c r="J54" i="2"/>
  <c r="E54" i="2"/>
  <c r="D54" i="2"/>
  <c r="F54" i="2" s="1"/>
  <c r="O53" i="2"/>
  <c r="J53" i="2"/>
  <c r="E53" i="2"/>
  <c r="D53" i="2"/>
  <c r="F53" i="2" s="1"/>
  <c r="O52" i="2"/>
  <c r="J52" i="2"/>
  <c r="E52" i="2"/>
  <c r="D52" i="2"/>
  <c r="F52" i="2" s="1"/>
  <c r="O51" i="2"/>
  <c r="J51" i="2"/>
  <c r="E51" i="2"/>
  <c r="D51" i="2"/>
  <c r="F51" i="2" s="1"/>
  <c r="O50" i="2"/>
  <c r="J50" i="2"/>
  <c r="E50" i="2"/>
  <c r="D50" i="2"/>
  <c r="F50" i="2" s="1"/>
  <c r="O49" i="2"/>
  <c r="J49" i="2"/>
  <c r="E49" i="2"/>
  <c r="F49" i="2" s="1"/>
  <c r="D49" i="2"/>
  <c r="O48" i="2"/>
  <c r="J48" i="2"/>
  <c r="E48" i="2"/>
  <c r="D48" i="2"/>
  <c r="O47" i="2"/>
  <c r="J47" i="2"/>
  <c r="E47" i="2"/>
  <c r="F47" i="2" s="1"/>
  <c r="D47" i="2"/>
  <c r="O46" i="2"/>
  <c r="J46" i="2"/>
  <c r="E46" i="2"/>
  <c r="D46" i="2"/>
  <c r="O45" i="2"/>
  <c r="J45" i="2"/>
  <c r="E45" i="2"/>
  <c r="D45" i="2"/>
  <c r="O44" i="2"/>
  <c r="J44" i="2"/>
  <c r="F44" i="2"/>
  <c r="E44" i="2"/>
  <c r="D44" i="2"/>
  <c r="O43" i="2"/>
  <c r="J43" i="2"/>
  <c r="E43" i="2"/>
  <c r="F43" i="2" s="1"/>
  <c r="D43" i="2"/>
  <c r="O42" i="2"/>
  <c r="J42" i="2"/>
  <c r="E42" i="2"/>
  <c r="D42" i="2"/>
  <c r="O41" i="2"/>
  <c r="J41" i="2"/>
  <c r="E41" i="2"/>
  <c r="D41" i="2"/>
  <c r="O40" i="2"/>
  <c r="J40" i="2"/>
  <c r="E40" i="2"/>
  <c r="D40" i="2"/>
  <c r="O39" i="2"/>
  <c r="J39" i="2"/>
  <c r="E39" i="2"/>
  <c r="D39" i="2"/>
  <c r="O38" i="2"/>
  <c r="J38" i="2"/>
  <c r="F38" i="2"/>
  <c r="E38" i="2"/>
  <c r="D38" i="2"/>
  <c r="O37" i="2"/>
  <c r="J37" i="2"/>
  <c r="E37" i="2"/>
  <c r="F37" i="2" s="1"/>
  <c r="D37" i="2"/>
  <c r="O36" i="2"/>
  <c r="J36" i="2"/>
  <c r="E36" i="2"/>
  <c r="D36" i="2"/>
  <c r="O35" i="2"/>
  <c r="J35" i="2"/>
  <c r="E35" i="2"/>
  <c r="D35" i="2"/>
  <c r="O34" i="2"/>
  <c r="J34" i="2"/>
  <c r="E34" i="2"/>
  <c r="D34" i="2"/>
  <c r="O33" i="2"/>
  <c r="J33" i="2"/>
  <c r="E33" i="2"/>
  <c r="D33" i="2"/>
  <c r="O32" i="2"/>
  <c r="J32" i="2"/>
  <c r="E32" i="2"/>
  <c r="D32" i="2"/>
  <c r="F32" i="2" s="1"/>
  <c r="O31" i="2"/>
  <c r="J31" i="2"/>
  <c r="E31" i="2"/>
  <c r="D31" i="2"/>
  <c r="O30" i="2"/>
  <c r="J30" i="2"/>
  <c r="E30" i="2"/>
  <c r="D30" i="2"/>
  <c r="F30" i="2" s="1"/>
  <c r="O29" i="2"/>
  <c r="J29" i="2"/>
  <c r="E29" i="2"/>
  <c r="D29" i="2"/>
  <c r="F29" i="2" s="1"/>
  <c r="O28" i="2"/>
  <c r="J28" i="2"/>
  <c r="E28" i="2"/>
  <c r="D28" i="2"/>
  <c r="F28" i="2" s="1"/>
  <c r="O27" i="2"/>
  <c r="J27" i="2"/>
  <c r="E27" i="2"/>
  <c r="D27" i="2"/>
  <c r="F27" i="2" s="1"/>
  <c r="O26" i="2"/>
  <c r="J26" i="2"/>
  <c r="E26" i="2"/>
  <c r="D26" i="2"/>
  <c r="F26" i="2" s="1"/>
  <c r="O25" i="2"/>
  <c r="J25" i="2"/>
  <c r="E25" i="2"/>
  <c r="F25" i="2" s="1"/>
  <c r="D25" i="2"/>
  <c r="O24" i="2"/>
  <c r="J24" i="2"/>
  <c r="E24" i="2"/>
  <c r="D24" i="2"/>
  <c r="O23" i="2"/>
  <c r="J23" i="2"/>
  <c r="E23" i="2"/>
  <c r="D23" i="2"/>
  <c r="O22" i="2"/>
  <c r="J22" i="2"/>
  <c r="E22" i="2"/>
  <c r="D22" i="2"/>
  <c r="O21" i="2"/>
  <c r="J21" i="2"/>
  <c r="E21" i="2"/>
  <c r="D21" i="2"/>
  <c r="O20" i="2"/>
  <c r="J20" i="2"/>
  <c r="F20" i="2"/>
  <c r="E20" i="2"/>
  <c r="D20" i="2"/>
  <c r="O19" i="2"/>
  <c r="J19" i="2"/>
  <c r="E19" i="2"/>
  <c r="F19" i="2" s="1"/>
  <c r="D19" i="2"/>
  <c r="O18" i="2"/>
  <c r="J18" i="2"/>
  <c r="E18" i="2"/>
  <c r="D18" i="2"/>
  <c r="O17" i="2"/>
  <c r="J17" i="2"/>
  <c r="E17" i="2"/>
  <c r="D17" i="2"/>
  <c r="O16" i="2"/>
  <c r="J16" i="2"/>
  <c r="E16" i="2"/>
  <c r="D16" i="2"/>
  <c r="O15" i="2"/>
  <c r="J15" i="2"/>
  <c r="E15" i="2"/>
  <c r="D15" i="2"/>
  <c r="O14" i="2"/>
  <c r="J14" i="2"/>
  <c r="E14" i="2"/>
  <c r="D14" i="2"/>
  <c r="O13" i="2"/>
  <c r="J13" i="2"/>
  <c r="E13" i="2"/>
  <c r="F13" i="2" s="1"/>
  <c r="D13" i="2"/>
  <c r="O12" i="2"/>
  <c r="J12" i="2"/>
  <c r="E12" i="2"/>
  <c r="D12" i="2"/>
  <c r="O11" i="2"/>
  <c r="J11" i="2"/>
  <c r="E11" i="2"/>
  <c r="D11" i="2"/>
  <c r="O10" i="2"/>
  <c r="J10" i="2"/>
  <c r="E10" i="2"/>
  <c r="D10" i="2"/>
  <c r="O9" i="2"/>
  <c r="J9" i="2"/>
  <c r="E9" i="2"/>
  <c r="D9" i="2"/>
  <c r="O8" i="2"/>
  <c r="J8" i="2"/>
  <c r="F8" i="2"/>
  <c r="E8" i="2"/>
  <c r="D8" i="2"/>
  <c r="O7" i="2"/>
  <c r="J7" i="2"/>
  <c r="E7" i="2"/>
  <c r="F7" i="2" s="1"/>
  <c r="D7" i="2"/>
  <c r="O6" i="2"/>
  <c r="J6" i="2"/>
  <c r="E6" i="2"/>
  <c r="D6" i="2"/>
  <c r="O5" i="2"/>
  <c r="J5" i="2"/>
  <c r="E5" i="2"/>
  <c r="D5" i="2"/>
  <c r="O4" i="2"/>
  <c r="J4" i="2"/>
  <c r="E4" i="2"/>
  <c r="D4" i="2"/>
  <c r="O500" i="1"/>
  <c r="J500" i="1"/>
  <c r="O499" i="1"/>
  <c r="J499" i="1"/>
  <c r="O498" i="1"/>
  <c r="J498" i="1"/>
  <c r="O497" i="1"/>
  <c r="J497" i="1"/>
  <c r="O496" i="1"/>
  <c r="J496" i="1"/>
  <c r="O495" i="1"/>
  <c r="J495" i="1"/>
  <c r="O494" i="1"/>
  <c r="J494" i="1"/>
  <c r="O493" i="1"/>
  <c r="J493" i="1"/>
  <c r="O492" i="1"/>
  <c r="J492" i="1"/>
  <c r="O491" i="1"/>
  <c r="J491" i="1"/>
  <c r="O490" i="1"/>
  <c r="J490" i="1"/>
  <c r="O489" i="1"/>
  <c r="J489" i="1"/>
  <c r="O488" i="1"/>
  <c r="J488" i="1"/>
  <c r="O487" i="1"/>
  <c r="J487" i="1"/>
  <c r="O486" i="1"/>
  <c r="J486" i="1"/>
  <c r="O485" i="1"/>
  <c r="J485" i="1"/>
  <c r="O484" i="1"/>
  <c r="J484" i="1"/>
  <c r="O483" i="1"/>
  <c r="J483" i="1"/>
  <c r="O482" i="1"/>
  <c r="J482" i="1"/>
  <c r="O481" i="1"/>
  <c r="J481" i="1"/>
  <c r="O480" i="1"/>
  <c r="J480" i="1"/>
  <c r="O479" i="1"/>
  <c r="J479" i="1"/>
  <c r="O478" i="1"/>
  <c r="J478" i="1"/>
  <c r="O477" i="1"/>
  <c r="J477" i="1"/>
  <c r="O476" i="1"/>
  <c r="J476" i="1"/>
  <c r="O475" i="1"/>
  <c r="J475" i="1"/>
  <c r="O474" i="1"/>
  <c r="J474" i="1"/>
  <c r="O473" i="1"/>
  <c r="J473" i="1"/>
  <c r="O472" i="1"/>
  <c r="J472" i="1"/>
  <c r="O471" i="1"/>
  <c r="J471" i="1"/>
  <c r="O470" i="1"/>
  <c r="J470" i="1"/>
  <c r="O469" i="1"/>
  <c r="J469" i="1"/>
  <c r="O468" i="1"/>
  <c r="J468" i="1"/>
  <c r="O467" i="1"/>
  <c r="J467" i="1"/>
  <c r="O466" i="1"/>
  <c r="J466" i="1"/>
  <c r="O465" i="1"/>
  <c r="J465" i="1"/>
  <c r="O464" i="1"/>
  <c r="J464" i="1"/>
  <c r="O463" i="1"/>
  <c r="J463" i="1"/>
  <c r="O462" i="1"/>
  <c r="J462" i="1"/>
  <c r="O461" i="1"/>
  <c r="J461" i="1"/>
  <c r="O460" i="1"/>
  <c r="J460" i="1"/>
  <c r="O459" i="1"/>
  <c r="J459" i="1"/>
  <c r="O458" i="1"/>
  <c r="J458" i="1"/>
  <c r="O457" i="1"/>
  <c r="J457" i="1"/>
  <c r="O456" i="1"/>
  <c r="J456" i="1"/>
  <c r="O455" i="1"/>
  <c r="J455" i="1"/>
  <c r="O454" i="1"/>
  <c r="J454" i="1"/>
  <c r="O453" i="1"/>
  <c r="J453" i="1"/>
  <c r="O452" i="1"/>
  <c r="J452" i="1"/>
  <c r="O451" i="1"/>
  <c r="J451" i="1"/>
  <c r="O450" i="1"/>
  <c r="J450" i="1"/>
  <c r="O449" i="1"/>
  <c r="J449" i="1"/>
  <c r="O448" i="1"/>
  <c r="J448" i="1"/>
  <c r="O447" i="1"/>
  <c r="J447" i="1"/>
  <c r="O446" i="1"/>
  <c r="J446" i="1"/>
  <c r="O445" i="1"/>
  <c r="J445" i="1"/>
  <c r="O444" i="1"/>
  <c r="J444" i="1"/>
  <c r="O443" i="1"/>
  <c r="J443" i="1"/>
  <c r="O442" i="1"/>
  <c r="J442" i="1"/>
  <c r="O441" i="1"/>
  <c r="J441" i="1"/>
  <c r="O440" i="1"/>
  <c r="J440" i="1"/>
  <c r="O439" i="1"/>
  <c r="J439" i="1"/>
  <c r="O438" i="1"/>
  <c r="J438" i="1"/>
  <c r="O437" i="1"/>
  <c r="J437" i="1"/>
  <c r="O436" i="1"/>
  <c r="J436" i="1"/>
  <c r="O435" i="1"/>
  <c r="J435" i="1"/>
  <c r="O434" i="1"/>
  <c r="J434" i="1"/>
  <c r="O433" i="1"/>
  <c r="J433" i="1"/>
  <c r="O432" i="1"/>
  <c r="J432" i="1"/>
  <c r="O431" i="1"/>
  <c r="J431" i="1"/>
  <c r="O430" i="1"/>
  <c r="J430" i="1"/>
  <c r="O429" i="1"/>
  <c r="J429" i="1"/>
  <c r="O428" i="1"/>
  <c r="J428" i="1"/>
  <c r="O427" i="1"/>
  <c r="J427" i="1"/>
  <c r="O426" i="1"/>
  <c r="J426" i="1"/>
  <c r="O425" i="1"/>
  <c r="J425" i="1"/>
  <c r="O424" i="1"/>
  <c r="J424" i="1"/>
  <c r="O423" i="1"/>
  <c r="J423" i="1"/>
  <c r="O422" i="1"/>
  <c r="J422" i="1"/>
  <c r="O421" i="1"/>
  <c r="J421" i="1"/>
  <c r="O420" i="1"/>
  <c r="J420" i="1"/>
  <c r="O419" i="1"/>
  <c r="J419" i="1"/>
  <c r="O418" i="1"/>
  <c r="J418" i="1"/>
  <c r="O417" i="1"/>
  <c r="J417" i="1"/>
  <c r="O416" i="1"/>
  <c r="J416" i="1"/>
  <c r="O415" i="1"/>
  <c r="J415" i="1"/>
  <c r="O414" i="1"/>
  <c r="J414" i="1"/>
  <c r="O413" i="1"/>
  <c r="J413" i="1"/>
  <c r="O412" i="1"/>
  <c r="J412" i="1"/>
  <c r="O411" i="1"/>
  <c r="J411" i="1"/>
  <c r="O410" i="1"/>
  <c r="J410" i="1"/>
  <c r="O409" i="1"/>
  <c r="J409" i="1"/>
  <c r="O408" i="1"/>
  <c r="J408" i="1"/>
  <c r="O407" i="1"/>
  <c r="J407" i="1"/>
  <c r="O406" i="1"/>
  <c r="J406" i="1"/>
  <c r="O405" i="1"/>
  <c r="J405" i="1"/>
  <c r="O404" i="1"/>
  <c r="J404" i="1"/>
  <c r="O403" i="1"/>
  <c r="J403" i="1"/>
  <c r="O402" i="1"/>
  <c r="J402" i="1"/>
  <c r="O401" i="1"/>
  <c r="J401" i="1"/>
  <c r="O400" i="1"/>
  <c r="J400" i="1"/>
  <c r="O399" i="1"/>
  <c r="J399" i="1"/>
  <c r="O398" i="1"/>
  <c r="J398" i="1"/>
  <c r="O397" i="1"/>
  <c r="J397" i="1"/>
  <c r="O396" i="1"/>
  <c r="J396" i="1"/>
  <c r="O395" i="1"/>
  <c r="J395" i="1"/>
  <c r="O394" i="1"/>
  <c r="J394" i="1"/>
  <c r="O393" i="1"/>
  <c r="J393" i="1"/>
  <c r="O392" i="1"/>
  <c r="J392" i="1"/>
  <c r="O391" i="1"/>
  <c r="J391" i="1"/>
  <c r="O390" i="1"/>
  <c r="J390" i="1"/>
  <c r="O389" i="1"/>
  <c r="J389" i="1"/>
  <c r="O388" i="1"/>
  <c r="J388" i="1"/>
  <c r="O387" i="1"/>
  <c r="J387" i="1"/>
  <c r="O386" i="1"/>
  <c r="J386" i="1"/>
  <c r="O385" i="1"/>
  <c r="J385" i="1"/>
  <c r="O384" i="1"/>
  <c r="J384" i="1"/>
  <c r="O383" i="1"/>
  <c r="J383" i="1"/>
  <c r="O382" i="1"/>
  <c r="J382" i="1"/>
  <c r="O381" i="1"/>
  <c r="J381" i="1"/>
  <c r="O380" i="1"/>
  <c r="J380" i="1"/>
  <c r="O379" i="1"/>
  <c r="J379" i="1"/>
  <c r="O378" i="1"/>
  <c r="J378" i="1"/>
  <c r="O377" i="1"/>
  <c r="J377" i="1"/>
  <c r="O376" i="1"/>
  <c r="J376" i="1"/>
  <c r="O375" i="1"/>
  <c r="J375" i="1"/>
  <c r="O374" i="1"/>
  <c r="J374" i="1"/>
  <c r="O373" i="1"/>
  <c r="J373" i="1"/>
  <c r="O372" i="1"/>
  <c r="J372" i="1"/>
  <c r="O371" i="1"/>
  <c r="J371" i="1"/>
  <c r="O370" i="1"/>
  <c r="J370" i="1"/>
  <c r="O369" i="1"/>
  <c r="J369" i="1"/>
  <c r="O368" i="1"/>
  <c r="J368" i="1"/>
  <c r="O367" i="1"/>
  <c r="J367" i="1"/>
  <c r="O366" i="1"/>
  <c r="J366" i="1"/>
  <c r="O365" i="1"/>
  <c r="J365" i="1"/>
  <c r="O364" i="1"/>
  <c r="J364" i="1"/>
  <c r="O363" i="1"/>
  <c r="J363" i="1"/>
  <c r="O362" i="1"/>
  <c r="J362" i="1"/>
  <c r="O361" i="1"/>
  <c r="J361" i="1"/>
  <c r="O360" i="1"/>
  <c r="J360" i="1"/>
  <c r="O359" i="1"/>
  <c r="J359" i="1"/>
  <c r="O358" i="1"/>
  <c r="J358" i="1"/>
  <c r="O357" i="1"/>
  <c r="J357" i="1"/>
  <c r="O356" i="1"/>
  <c r="J356" i="1"/>
  <c r="O355" i="1"/>
  <c r="J355" i="1"/>
  <c r="O354" i="1"/>
  <c r="J354" i="1"/>
  <c r="O353" i="1"/>
  <c r="J353" i="1"/>
  <c r="O352" i="1"/>
  <c r="J352" i="1"/>
  <c r="O351" i="1"/>
  <c r="J351" i="1"/>
  <c r="O350" i="1"/>
  <c r="J350" i="1"/>
  <c r="O349" i="1"/>
  <c r="J349" i="1"/>
  <c r="O348" i="1"/>
  <c r="J348" i="1"/>
  <c r="O347" i="1"/>
  <c r="J347" i="1"/>
  <c r="O346" i="1"/>
  <c r="J346" i="1"/>
  <c r="O345" i="1"/>
  <c r="J345" i="1"/>
  <c r="O344" i="1"/>
  <c r="J344" i="1"/>
  <c r="O343" i="1"/>
  <c r="J343" i="1"/>
  <c r="O342" i="1"/>
  <c r="J342" i="1"/>
  <c r="O341" i="1"/>
  <c r="J341" i="1"/>
  <c r="O340" i="1"/>
  <c r="J340" i="1"/>
  <c r="O339" i="1"/>
  <c r="J339" i="1"/>
  <c r="O338" i="1"/>
  <c r="J338" i="1"/>
  <c r="O337" i="1"/>
  <c r="J337" i="1"/>
  <c r="O336" i="1"/>
  <c r="J336" i="1"/>
  <c r="O335" i="1"/>
  <c r="J335" i="1"/>
  <c r="O334" i="1"/>
  <c r="J334" i="1"/>
  <c r="O333" i="1"/>
  <c r="J333" i="1"/>
  <c r="O332" i="1"/>
  <c r="J332" i="1"/>
  <c r="O331" i="1"/>
  <c r="J331" i="1"/>
  <c r="O330" i="1"/>
  <c r="J330" i="1"/>
  <c r="O329" i="1"/>
  <c r="J329" i="1"/>
  <c r="O328" i="1"/>
  <c r="J328" i="1"/>
  <c r="O327" i="1"/>
  <c r="J327" i="1"/>
  <c r="O326" i="1"/>
  <c r="J326" i="1"/>
  <c r="O325" i="1"/>
  <c r="J325" i="1"/>
  <c r="O324" i="1"/>
  <c r="J324" i="1"/>
  <c r="O323" i="1"/>
  <c r="J323" i="1"/>
  <c r="O322" i="1"/>
  <c r="J322" i="1"/>
  <c r="O321" i="1"/>
  <c r="J321" i="1"/>
  <c r="O320" i="1"/>
  <c r="J320" i="1"/>
  <c r="O319" i="1"/>
  <c r="J319" i="1"/>
  <c r="O318" i="1"/>
  <c r="J318" i="1"/>
  <c r="O317" i="1"/>
  <c r="J317" i="1"/>
  <c r="O316" i="1"/>
  <c r="J316" i="1"/>
  <c r="O315" i="1"/>
  <c r="J315" i="1"/>
  <c r="O314" i="1"/>
  <c r="J314" i="1"/>
  <c r="O313" i="1"/>
  <c r="J313" i="1"/>
  <c r="O312" i="1"/>
  <c r="J312" i="1"/>
  <c r="O311" i="1"/>
  <c r="J311" i="1"/>
  <c r="O310" i="1"/>
  <c r="J310" i="1"/>
  <c r="O309" i="1"/>
  <c r="J309" i="1"/>
  <c r="O308" i="1"/>
  <c r="J308" i="1"/>
  <c r="O307" i="1"/>
  <c r="J307" i="1"/>
  <c r="O306" i="1"/>
  <c r="J306" i="1"/>
  <c r="O305" i="1"/>
  <c r="J305" i="1"/>
  <c r="O304" i="1"/>
  <c r="J304" i="1"/>
  <c r="O303" i="1"/>
  <c r="J303" i="1"/>
  <c r="O302" i="1"/>
  <c r="J302" i="1"/>
  <c r="O301" i="1"/>
  <c r="J301" i="1"/>
  <c r="O300" i="1"/>
  <c r="J300" i="1"/>
  <c r="O299" i="1"/>
  <c r="J299" i="1"/>
  <c r="O298" i="1"/>
  <c r="J298" i="1"/>
  <c r="O297" i="1"/>
  <c r="J297" i="1"/>
  <c r="O296" i="1"/>
  <c r="J296" i="1"/>
  <c r="O295" i="1"/>
  <c r="J295" i="1"/>
  <c r="O294" i="1"/>
  <c r="J294" i="1"/>
  <c r="O293" i="1"/>
  <c r="J293" i="1"/>
  <c r="O292" i="1"/>
  <c r="J292" i="1"/>
  <c r="O291" i="1"/>
  <c r="J291" i="1"/>
  <c r="O290" i="1"/>
  <c r="J290" i="1"/>
  <c r="O289" i="1"/>
  <c r="J289" i="1"/>
  <c r="O288" i="1"/>
  <c r="J288" i="1"/>
  <c r="P287" i="1"/>
  <c r="K287" i="1"/>
  <c r="P286" i="1"/>
  <c r="K286" i="1"/>
  <c r="P285" i="1"/>
  <c r="K285" i="1"/>
  <c r="P284" i="1"/>
  <c r="K284" i="1"/>
  <c r="P283" i="1"/>
  <c r="K283" i="1"/>
  <c r="P282" i="1"/>
  <c r="K282" i="1"/>
  <c r="P281" i="1"/>
  <c r="K281" i="1"/>
  <c r="P280" i="1"/>
  <c r="K280" i="1"/>
  <c r="P279" i="1"/>
  <c r="K279" i="1"/>
  <c r="P278" i="1"/>
  <c r="K278" i="1"/>
  <c r="P277" i="1"/>
  <c r="K277" i="1"/>
  <c r="P276" i="1"/>
  <c r="K276" i="1"/>
  <c r="P275" i="1"/>
  <c r="K275" i="1"/>
  <c r="P274" i="1"/>
  <c r="K274" i="1"/>
  <c r="P273" i="1"/>
  <c r="K273" i="1"/>
  <c r="P272" i="1"/>
  <c r="K272" i="1"/>
  <c r="P271" i="1"/>
  <c r="K271" i="1"/>
  <c r="P270" i="1"/>
  <c r="K270" i="1"/>
  <c r="P269" i="1"/>
  <c r="K269" i="1"/>
  <c r="P268" i="1"/>
  <c r="K268" i="1"/>
  <c r="P267" i="1"/>
  <c r="K267" i="1"/>
  <c r="P266" i="1"/>
  <c r="K266" i="1"/>
  <c r="P265" i="1"/>
  <c r="K265" i="1"/>
  <c r="P264" i="1"/>
  <c r="K264" i="1"/>
  <c r="P263" i="1"/>
  <c r="K263" i="1"/>
  <c r="P262" i="1"/>
  <c r="K262" i="1"/>
  <c r="P261" i="1"/>
  <c r="K261" i="1"/>
  <c r="P260" i="1"/>
  <c r="K260" i="1"/>
  <c r="P259" i="1"/>
  <c r="K259" i="1"/>
  <c r="P258" i="1"/>
  <c r="K258" i="1"/>
  <c r="P257" i="1"/>
  <c r="K257" i="1"/>
  <c r="P256" i="1"/>
  <c r="K256" i="1"/>
  <c r="P255" i="1"/>
  <c r="K255" i="1"/>
  <c r="P254" i="1"/>
  <c r="K254" i="1"/>
  <c r="P253" i="1"/>
  <c r="K253" i="1"/>
  <c r="P252" i="1"/>
  <c r="K252" i="1"/>
  <c r="P251" i="1"/>
  <c r="K251" i="1"/>
  <c r="P250" i="1"/>
  <c r="K250" i="1"/>
  <c r="P249" i="1"/>
  <c r="K249" i="1"/>
  <c r="P248" i="1"/>
  <c r="K248" i="1"/>
  <c r="P247" i="1"/>
  <c r="K247" i="1"/>
  <c r="P246" i="1"/>
  <c r="K246" i="1"/>
  <c r="P245" i="1"/>
  <c r="K245" i="1"/>
  <c r="P244" i="1"/>
  <c r="K244" i="1"/>
  <c r="P243" i="1"/>
  <c r="K243" i="1"/>
  <c r="P242" i="1"/>
  <c r="K242" i="1"/>
  <c r="P241" i="1"/>
  <c r="K241" i="1"/>
  <c r="P240" i="1"/>
  <c r="K240" i="1"/>
  <c r="P239" i="1"/>
  <c r="K239" i="1"/>
  <c r="P238" i="1"/>
  <c r="K238" i="1"/>
  <c r="P237" i="1"/>
  <c r="K237" i="1"/>
  <c r="P236" i="1"/>
  <c r="K236" i="1"/>
  <c r="P235" i="1"/>
  <c r="K235" i="1"/>
  <c r="P234" i="1"/>
  <c r="K234" i="1"/>
  <c r="P233" i="1"/>
  <c r="K233" i="1"/>
  <c r="P232" i="1"/>
  <c r="K232" i="1"/>
  <c r="P231" i="1"/>
  <c r="K231" i="1"/>
  <c r="P230" i="1"/>
  <c r="K230" i="1"/>
  <c r="P229" i="1"/>
  <c r="K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3" i="1"/>
  <c r="P12" i="1"/>
  <c r="P11" i="1"/>
  <c r="P10" i="1"/>
  <c r="P8" i="1"/>
  <c r="P7" i="1"/>
  <c r="P6" i="1"/>
  <c r="P5" i="1"/>
  <c r="P4" i="1"/>
  <c r="E303" i="1" l="1"/>
  <c r="F303" i="1"/>
  <c r="F21" i="2"/>
  <c r="F22" i="2"/>
  <c r="F23" i="2"/>
  <c r="F24" i="2"/>
  <c r="F45" i="2"/>
  <c r="F46" i="2"/>
  <c r="F48" i="2"/>
  <c r="F69" i="2"/>
  <c r="F70" i="2"/>
  <c r="F84" i="2"/>
  <c r="F99" i="2"/>
  <c r="F100" i="2"/>
  <c r="F102" i="2"/>
  <c r="F117" i="2"/>
  <c r="F118" i="2"/>
  <c r="F129" i="2"/>
  <c r="F130" i="2"/>
  <c r="F141" i="2"/>
  <c r="F142" i="2"/>
  <c r="F156" i="2"/>
  <c r="F158" i="2"/>
  <c r="F159" i="2"/>
  <c r="F168" i="2"/>
  <c r="F170" i="2"/>
  <c r="F171" i="2"/>
  <c r="F198" i="2"/>
  <c r="F211" i="2"/>
  <c r="F213" i="2"/>
  <c r="F216" i="2"/>
  <c r="F218" i="2"/>
  <c r="F219" i="2"/>
  <c r="F226" i="2"/>
  <c r="F227" i="2"/>
  <c r="F229" i="2"/>
  <c r="F246" i="2"/>
  <c r="F261" i="2"/>
  <c r="F262" i="2"/>
  <c r="F275" i="2"/>
  <c r="F277" i="2"/>
  <c r="F263" i="2"/>
  <c r="F265" i="2"/>
  <c r="F282" i="2"/>
  <c r="F4" i="2"/>
  <c r="F5" i="2"/>
  <c r="F6" i="2"/>
  <c r="F31" i="2"/>
  <c r="F33" i="2"/>
  <c r="F34" i="2"/>
  <c r="F35" i="2"/>
  <c r="F36" i="2"/>
  <c r="F55" i="2"/>
  <c r="F57" i="2"/>
  <c r="F58" i="2"/>
  <c r="F60" i="2"/>
  <c r="F73" i="2"/>
  <c r="F75" i="2"/>
  <c r="F76" i="2"/>
  <c r="F77" i="2"/>
  <c r="F78" i="2"/>
  <c r="F91" i="2"/>
  <c r="F93" i="2"/>
  <c r="F94" i="2"/>
  <c r="F108" i="2"/>
  <c r="F121" i="2"/>
  <c r="F123" i="2"/>
  <c r="F124" i="2"/>
  <c r="F133" i="2"/>
  <c r="F135" i="2"/>
  <c r="F136" i="2"/>
  <c r="F145" i="2"/>
  <c r="F148" i="2"/>
  <c r="F150" i="2"/>
  <c r="F162" i="2"/>
  <c r="F174" i="2"/>
  <c r="F187" i="2"/>
  <c r="F189" i="2"/>
  <c r="F192" i="2"/>
  <c r="F194" i="2"/>
  <c r="F195" i="2"/>
  <c r="F202" i="2"/>
  <c r="F203" i="2"/>
  <c r="F205" i="2"/>
  <c r="F222" i="2"/>
  <c r="F235" i="2"/>
  <c r="F237" i="2"/>
  <c r="F240" i="2"/>
  <c r="F242" i="2"/>
  <c r="F243" i="2"/>
  <c r="F250" i="2"/>
  <c r="F251" i="2"/>
  <c r="F253" i="2"/>
  <c r="F270" i="2"/>
  <c r="F285" i="2"/>
  <c r="F286" i="2"/>
  <c r="F9" i="2"/>
  <c r="F10" i="2"/>
  <c r="F11" i="2"/>
  <c r="F12" i="2"/>
  <c r="F14" i="2"/>
  <c r="F15" i="2"/>
  <c r="F16" i="2"/>
  <c r="F17" i="2"/>
  <c r="F18" i="2"/>
  <c r="F39" i="2"/>
  <c r="F40" i="2"/>
  <c r="F41" i="2"/>
  <c r="F42" i="2"/>
  <c r="F63" i="2"/>
  <c r="F64" i="2"/>
  <c r="F65" i="2"/>
  <c r="F66" i="2"/>
  <c r="F81" i="2"/>
  <c r="F82" i="2"/>
  <c r="F96" i="2"/>
  <c r="F111" i="2"/>
  <c r="F112" i="2"/>
  <c r="F114" i="2"/>
  <c r="F126" i="2"/>
  <c r="F138" i="2"/>
  <c r="F153" i="2"/>
  <c r="F154" i="2"/>
  <c r="F165" i="2"/>
  <c r="F166" i="2"/>
  <c r="F177" i="2"/>
  <c r="F178" i="2"/>
  <c r="F180" i="2"/>
  <c r="F182" i="2"/>
  <c r="F183" i="2"/>
  <c r="F210" i="2"/>
  <c r="F258" i="2"/>
  <c r="E179" i="1"/>
  <c r="F179" i="1"/>
  <c r="E300" i="1"/>
  <c r="E302" i="1"/>
  <c r="E301" i="1"/>
  <c r="F300" i="1"/>
  <c r="F302" i="1"/>
  <c r="F301" i="1"/>
  <c r="E298" i="1"/>
  <c r="E299" i="1"/>
  <c r="F299" i="1"/>
  <c r="F298" i="1"/>
  <c r="E154" i="1"/>
  <c r="E13" i="1"/>
  <c r="F154" i="1"/>
  <c r="F13" i="1"/>
  <c r="E67" i="1"/>
  <c r="E68" i="1"/>
  <c r="E296" i="1"/>
  <c r="E297" i="1"/>
  <c r="F296" i="1"/>
  <c r="F297" i="1"/>
  <c r="E295" i="1"/>
  <c r="E293" i="1"/>
  <c r="F293" i="1"/>
  <c r="F295" i="1"/>
  <c r="E81" i="1"/>
  <c r="E153" i="1"/>
  <c r="F153" i="1"/>
  <c r="E217" i="1"/>
  <c r="F217" i="1"/>
  <c r="E224" i="1"/>
  <c r="F214" i="1"/>
  <c r="E207" i="1"/>
  <c r="E10" i="1"/>
  <c r="E194" i="1"/>
  <c r="F191" i="1"/>
  <c r="E176" i="1"/>
  <c r="E160" i="1"/>
  <c r="E142" i="1"/>
  <c r="E126" i="1"/>
  <c r="E106" i="1"/>
  <c r="E284" i="1"/>
  <c r="E94" i="1"/>
  <c r="E74" i="1"/>
  <c r="E270" i="1"/>
  <c r="E255" i="1"/>
  <c r="E50" i="1"/>
  <c r="E238" i="1"/>
  <c r="E26" i="1"/>
  <c r="F238" i="1"/>
  <c r="E251" i="1"/>
  <c r="E235" i="1"/>
  <c r="E220" i="1"/>
  <c r="E204" i="1"/>
  <c r="E190" i="1"/>
  <c r="E171" i="1"/>
  <c r="E157" i="1"/>
  <c r="E138" i="1"/>
  <c r="E119" i="1"/>
  <c r="E144" i="1"/>
  <c r="E89" i="1"/>
  <c r="E71" i="1"/>
  <c r="E47" i="1"/>
  <c r="E23" i="1"/>
  <c r="F287" i="1"/>
  <c r="F262" i="1"/>
  <c r="F237" i="1"/>
  <c r="F212" i="1"/>
  <c r="F190" i="1"/>
  <c r="F165" i="1"/>
  <c r="F138" i="1"/>
  <c r="F111" i="1"/>
  <c r="F79" i="1"/>
  <c r="F33" i="1"/>
  <c r="F288" i="1"/>
  <c r="F215" i="1"/>
  <c r="E125" i="1"/>
  <c r="F264" i="1"/>
  <c r="F140" i="1"/>
  <c r="E282" i="1"/>
  <c r="E236" i="1"/>
  <c r="E139" i="1"/>
  <c r="E91" i="1"/>
  <c r="F263" i="1"/>
  <c r="F213" i="1"/>
  <c r="F43" i="1"/>
  <c r="E263" i="1"/>
  <c r="E250" i="1"/>
  <c r="E233" i="1"/>
  <c r="E219" i="1"/>
  <c r="E202" i="1"/>
  <c r="E189" i="1"/>
  <c r="E170" i="1"/>
  <c r="E155" i="1"/>
  <c r="E137" i="1"/>
  <c r="E118" i="1"/>
  <c r="E120" i="1"/>
  <c r="E86" i="1"/>
  <c r="E44" i="1"/>
  <c r="E20" i="1"/>
  <c r="F284" i="1"/>
  <c r="F259" i="1"/>
  <c r="F234" i="1"/>
  <c r="F209" i="1"/>
  <c r="F187" i="1"/>
  <c r="F162" i="1"/>
  <c r="F135" i="1"/>
  <c r="F108" i="1"/>
  <c r="F75" i="1"/>
  <c r="F32" i="1"/>
  <c r="F115" i="1"/>
  <c r="E223" i="1"/>
  <c r="E92" i="1"/>
  <c r="E49" i="1"/>
  <c r="F81" i="1"/>
  <c r="E205" i="1"/>
  <c r="E104" i="1"/>
  <c r="E48" i="1"/>
  <c r="E24" i="1"/>
  <c r="F80" i="1"/>
  <c r="E264" i="1"/>
  <c r="E278" i="1"/>
  <c r="E262" i="1"/>
  <c r="E249" i="1"/>
  <c r="E232" i="1"/>
  <c r="E218" i="1"/>
  <c r="E244" i="1"/>
  <c r="E186" i="1"/>
  <c r="E181" i="1"/>
  <c r="E152" i="1"/>
  <c r="E134" i="1"/>
  <c r="E117" i="1"/>
  <c r="E113" i="1"/>
  <c r="E85" i="1"/>
  <c r="E65" i="1"/>
  <c r="E41" i="1"/>
  <c r="E17" i="1"/>
  <c r="F281" i="1"/>
  <c r="F265" i="1"/>
  <c r="F231" i="1"/>
  <c r="F206" i="1"/>
  <c r="F184" i="1"/>
  <c r="F159" i="1"/>
  <c r="F132" i="1"/>
  <c r="F122" i="1"/>
  <c r="F69" i="1"/>
  <c r="F31" i="1"/>
  <c r="F141" i="1"/>
  <c r="E192" i="1"/>
  <c r="F239" i="1"/>
  <c r="E191" i="1"/>
  <c r="E280" i="1"/>
  <c r="E261" i="1"/>
  <c r="F169" i="1"/>
  <c r="E253" i="1"/>
  <c r="E140" i="1"/>
  <c r="E73" i="1"/>
  <c r="E25" i="1"/>
  <c r="F114" i="1"/>
  <c r="F9" i="1"/>
  <c r="F22" i="1"/>
  <c r="F34" i="1"/>
  <c r="F46" i="1"/>
  <c r="F58" i="1"/>
  <c r="F70" i="1"/>
  <c r="F82" i="1"/>
  <c r="F94" i="1"/>
  <c r="F144" i="1"/>
  <c r="F116" i="1"/>
  <c r="F130" i="1"/>
  <c r="F142" i="1"/>
  <c r="F157" i="1"/>
  <c r="F168" i="1"/>
  <c r="F182" i="1"/>
  <c r="F194" i="1"/>
  <c r="F204" i="1"/>
  <c r="F216" i="1"/>
  <c r="F229" i="1"/>
  <c r="F242" i="1"/>
  <c r="F255" i="1"/>
  <c r="F267" i="1"/>
  <c r="F279" i="1"/>
  <c r="F291" i="1"/>
  <c r="F4" i="1"/>
  <c r="F10" i="1"/>
  <c r="F23" i="1"/>
  <c r="F35" i="1"/>
  <c r="F47" i="1"/>
  <c r="F59" i="1"/>
  <c r="F71" i="1"/>
  <c r="F83" i="1"/>
  <c r="F95" i="1"/>
  <c r="F104" i="1"/>
  <c r="F117" i="1"/>
  <c r="F131" i="1"/>
  <c r="F143" i="1"/>
  <c r="F158" i="1"/>
  <c r="F181" i="1"/>
  <c r="F183" i="1"/>
  <c r="F195" i="1"/>
  <c r="F205" i="1"/>
  <c r="F218" i="1"/>
  <c r="F230" i="1"/>
  <c r="F243" i="1"/>
  <c r="F256" i="1"/>
  <c r="F268" i="1"/>
  <c r="F280" i="1"/>
  <c r="F11" i="1"/>
  <c r="F24" i="1"/>
  <c r="F36" i="1"/>
  <c r="F48" i="1"/>
  <c r="F60" i="1"/>
  <c r="F72" i="1"/>
  <c r="F84" i="1"/>
  <c r="F96" i="1"/>
  <c r="F105" i="1"/>
  <c r="F12" i="1"/>
  <c r="F25" i="1"/>
  <c r="F37" i="1"/>
  <c r="F49" i="1"/>
  <c r="F61" i="1"/>
  <c r="F73" i="1"/>
  <c r="F85" i="1"/>
  <c r="F97" i="1"/>
  <c r="F106" i="1"/>
  <c r="F119" i="1"/>
  <c r="F133" i="1"/>
  <c r="F146" i="1"/>
  <c r="F160" i="1"/>
  <c r="F171" i="1"/>
  <c r="F185" i="1"/>
  <c r="F197" i="1"/>
  <c r="F207" i="1"/>
  <c r="F220" i="1"/>
  <c r="F232" i="1"/>
  <c r="F246" i="1"/>
  <c r="F257" i="1"/>
  <c r="F270" i="1"/>
  <c r="F282" i="1"/>
  <c r="F14" i="1"/>
  <c r="F26" i="1"/>
  <c r="F38" i="1"/>
  <c r="F50" i="1"/>
  <c r="F62" i="1"/>
  <c r="F74" i="1"/>
  <c r="F86" i="1"/>
  <c r="F98" i="1"/>
  <c r="F107" i="1"/>
  <c r="F121" i="1"/>
  <c r="F134" i="1"/>
  <c r="F147" i="1"/>
  <c r="F161" i="1"/>
  <c r="F172" i="1"/>
  <c r="F186" i="1"/>
  <c r="F198" i="1"/>
  <c r="F208" i="1"/>
  <c r="F221" i="1"/>
  <c r="F233" i="1"/>
  <c r="F247" i="1"/>
  <c r="F258" i="1"/>
  <c r="F271" i="1"/>
  <c r="F283" i="1"/>
  <c r="F15" i="1"/>
  <c r="F27" i="1"/>
  <c r="F39" i="1"/>
  <c r="F51" i="1"/>
  <c r="F292" i="1"/>
  <c r="F16" i="1"/>
  <c r="F28" i="1"/>
  <c r="F40" i="1"/>
  <c r="F52" i="1"/>
  <c r="F64" i="1"/>
  <c r="F76" i="1"/>
  <c r="F88" i="1"/>
  <c r="F100" i="1"/>
  <c r="F109" i="1"/>
  <c r="F124" i="1"/>
  <c r="F136" i="1"/>
  <c r="F149" i="1"/>
  <c r="F163" i="1"/>
  <c r="F174" i="1"/>
  <c r="F188" i="1"/>
  <c r="F200" i="1"/>
  <c r="F210" i="1"/>
  <c r="F223" i="1"/>
  <c r="F235" i="1"/>
  <c r="F249" i="1"/>
  <c r="F260" i="1"/>
  <c r="F273" i="1"/>
  <c r="F285" i="1"/>
  <c r="F103" i="1"/>
  <c r="F17" i="1"/>
  <c r="F29" i="1"/>
  <c r="F41" i="1"/>
  <c r="F53" i="1"/>
  <c r="F65" i="1"/>
  <c r="F77" i="1"/>
  <c r="F89" i="1"/>
  <c r="F101" i="1"/>
  <c r="F110" i="1"/>
  <c r="F125" i="1"/>
  <c r="F137" i="1"/>
  <c r="F150" i="1"/>
  <c r="F164" i="1"/>
  <c r="F175" i="1"/>
  <c r="F189" i="1"/>
  <c r="F201" i="1"/>
  <c r="F211" i="1"/>
  <c r="F224" i="1"/>
  <c r="F236" i="1"/>
  <c r="F250" i="1"/>
  <c r="F261" i="1"/>
  <c r="F274" i="1"/>
  <c r="F286" i="1"/>
  <c r="F5" i="1"/>
  <c r="F18" i="1"/>
  <c r="F30" i="1"/>
  <c r="F42" i="1"/>
  <c r="F54" i="1"/>
  <c r="F66" i="1"/>
  <c r="F78" i="1"/>
  <c r="F90" i="1"/>
  <c r="F102" i="1"/>
  <c r="E221" i="1"/>
  <c r="E121" i="1"/>
  <c r="E72" i="1"/>
  <c r="F289" i="1"/>
  <c r="F112" i="1"/>
  <c r="E281" i="1"/>
  <c r="E292" i="1"/>
  <c r="E277" i="1"/>
  <c r="E247" i="1"/>
  <c r="E231" i="1"/>
  <c r="E216" i="1"/>
  <c r="E241" i="1"/>
  <c r="E185" i="1"/>
  <c r="E168" i="1"/>
  <c r="E151" i="1"/>
  <c r="E133" i="1"/>
  <c r="E116" i="1"/>
  <c r="E102" i="1"/>
  <c r="E84" i="1"/>
  <c r="E62" i="1"/>
  <c r="E38" i="1"/>
  <c r="E14" i="1"/>
  <c r="F278" i="1"/>
  <c r="F254" i="1"/>
  <c r="F228" i="1"/>
  <c r="F203" i="1"/>
  <c r="F180" i="1"/>
  <c r="F156" i="1"/>
  <c r="F129" i="1"/>
  <c r="F120" i="1"/>
  <c r="F68" i="1"/>
  <c r="F21" i="1"/>
  <c r="E288" i="1"/>
  <c r="E276" i="1"/>
  <c r="E260" i="1"/>
  <c r="E246" i="1"/>
  <c r="E230" i="1"/>
  <c r="E214" i="1"/>
  <c r="E201" i="1"/>
  <c r="E184" i="1"/>
  <c r="E167" i="1"/>
  <c r="E150" i="1"/>
  <c r="E132" i="1"/>
  <c r="E114" i="1"/>
  <c r="E101" i="1"/>
  <c r="E83" i="1"/>
  <c r="E61" i="1"/>
  <c r="E37" i="1"/>
  <c r="E12" i="1"/>
  <c r="F277" i="1"/>
  <c r="F253" i="1"/>
  <c r="F227" i="1"/>
  <c r="F202" i="1"/>
  <c r="F178" i="1"/>
  <c r="F155" i="1"/>
  <c r="F128" i="1"/>
  <c r="F113" i="1"/>
  <c r="F67" i="1"/>
  <c r="F20" i="1"/>
  <c r="F193" i="1"/>
  <c r="E159" i="1"/>
  <c r="F167" i="1"/>
  <c r="E252" i="1"/>
  <c r="E158" i="1"/>
  <c r="F139" i="1"/>
  <c r="E290" i="1"/>
  <c r="E275" i="1"/>
  <c r="E258" i="1"/>
  <c r="E245" i="1"/>
  <c r="E229" i="1"/>
  <c r="E213" i="1"/>
  <c r="E198" i="1"/>
  <c r="E183" i="1"/>
  <c r="E166" i="1"/>
  <c r="E147" i="1"/>
  <c r="E131" i="1"/>
  <c r="E112" i="1"/>
  <c r="E98" i="1"/>
  <c r="E82" i="1"/>
  <c r="E60" i="1"/>
  <c r="E36" i="1"/>
  <c r="E11" i="1"/>
  <c r="F276" i="1"/>
  <c r="F252" i="1"/>
  <c r="F226" i="1"/>
  <c r="F244" i="1"/>
  <c r="F177" i="1"/>
  <c r="F152" i="1"/>
  <c r="F127" i="1"/>
  <c r="F99" i="1"/>
  <c r="F63" i="1"/>
  <c r="F19" i="1"/>
  <c r="F240" i="1"/>
  <c r="E206" i="1"/>
  <c r="F192" i="1"/>
  <c r="E172" i="1"/>
  <c r="F166" i="1"/>
  <c r="E289" i="1"/>
  <c r="E274" i="1"/>
  <c r="E257" i="1"/>
  <c r="E243" i="1"/>
  <c r="E227" i="1"/>
  <c r="E212" i="1"/>
  <c r="E197" i="1"/>
  <c r="E182" i="1"/>
  <c r="E165" i="1"/>
  <c r="E146" i="1"/>
  <c r="E130" i="1"/>
  <c r="E111" i="1"/>
  <c r="E97" i="1"/>
  <c r="E80" i="1"/>
  <c r="E59" i="1"/>
  <c r="E35" i="1"/>
  <c r="F275" i="1"/>
  <c r="F251" i="1"/>
  <c r="F225" i="1"/>
  <c r="F241" i="1"/>
  <c r="F176" i="1"/>
  <c r="F151" i="1"/>
  <c r="F126" i="1"/>
  <c r="F93" i="1"/>
  <c r="F57" i="1"/>
  <c r="F8" i="1"/>
  <c r="F266" i="1"/>
  <c r="F45" i="1"/>
  <c r="E15" i="1"/>
  <c r="E27" i="1"/>
  <c r="E39" i="1"/>
  <c r="E51" i="1"/>
  <c r="E63" i="1"/>
  <c r="E75" i="1"/>
  <c r="E87" i="1"/>
  <c r="E99" i="1"/>
  <c r="E108" i="1"/>
  <c r="E123" i="1"/>
  <c r="E135" i="1"/>
  <c r="E148" i="1"/>
  <c r="E162" i="1"/>
  <c r="E173" i="1"/>
  <c r="E187" i="1"/>
  <c r="E199" i="1"/>
  <c r="E209" i="1"/>
  <c r="E222" i="1"/>
  <c r="E234" i="1"/>
  <c r="E248" i="1"/>
  <c r="E259" i="1"/>
  <c r="E285" i="1"/>
  <c r="E40" i="1"/>
  <c r="E64" i="1"/>
  <c r="E76" i="1"/>
  <c r="E100" i="1"/>
  <c r="E109" i="1"/>
  <c r="E136" i="1"/>
  <c r="E149" i="1"/>
  <c r="E174" i="1"/>
  <c r="E188" i="1"/>
  <c r="E210" i="1"/>
  <c r="E16" i="1"/>
  <c r="E28" i="1"/>
  <c r="E52" i="1"/>
  <c r="E88" i="1"/>
  <c r="E124" i="1"/>
  <c r="E163" i="1"/>
  <c r="E200" i="1"/>
  <c r="E4" i="1"/>
  <c r="E6" i="1"/>
  <c r="E18" i="1"/>
  <c r="E30" i="1"/>
  <c r="E42" i="1"/>
  <c r="E54" i="1"/>
  <c r="E66" i="1"/>
  <c r="E78" i="1"/>
  <c r="E90" i="1"/>
  <c r="E103" i="1"/>
  <c r="E19" i="1"/>
  <c r="E31" i="1"/>
  <c r="E43" i="1"/>
  <c r="E55" i="1"/>
  <c r="E5" i="1"/>
  <c r="E8" i="1"/>
  <c r="E21" i="1"/>
  <c r="E33" i="1"/>
  <c r="E45" i="1"/>
  <c r="E57" i="1"/>
  <c r="E69" i="1"/>
  <c r="E93" i="1"/>
  <c r="E122" i="1"/>
  <c r="E115" i="1"/>
  <c r="G115" i="1" s="1"/>
  <c r="E129" i="1"/>
  <c r="E141" i="1"/>
  <c r="E156" i="1"/>
  <c r="E169" i="1"/>
  <c r="E180" i="1"/>
  <c r="E193" i="1"/>
  <c r="E203" i="1"/>
  <c r="E215" i="1"/>
  <c r="E228" i="1"/>
  <c r="E240" i="1"/>
  <c r="E254" i="1"/>
  <c r="E279" i="1"/>
  <c r="E9" i="1"/>
  <c r="E22" i="1"/>
  <c r="E34" i="1"/>
  <c r="E46" i="1"/>
  <c r="E58" i="1"/>
  <c r="E70" i="1"/>
  <c r="E237" i="1"/>
  <c r="E105" i="1"/>
  <c r="F290" i="1"/>
  <c r="F44" i="1"/>
  <c r="E287" i="1"/>
  <c r="E265" i="1"/>
  <c r="E226" i="1"/>
  <c r="E196" i="1"/>
  <c r="E178" i="1"/>
  <c r="E164" i="1"/>
  <c r="E145" i="1"/>
  <c r="E110" i="1"/>
  <c r="E96" i="1"/>
  <c r="E79" i="1"/>
  <c r="E56" i="1"/>
  <c r="E32" i="1"/>
  <c r="E7" i="1"/>
  <c r="F272" i="1"/>
  <c r="F248" i="1"/>
  <c r="F222" i="1"/>
  <c r="F199" i="1"/>
  <c r="F173" i="1"/>
  <c r="F148" i="1"/>
  <c r="F123" i="1"/>
  <c r="F92" i="1"/>
  <c r="F56" i="1"/>
  <c r="F7" i="1"/>
  <c r="F87" i="1"/>
  <c r="E283" i="1"/>
  <c r="E175" i="1"/>
  <c r="E242" i="1"/>
  <c r="E211" i="1"/>
  <c r="E128" i="1"/>
  <c r="E286" i="1"/>
  <c r="E271" i="1"/>
  <c r="E256" i="1"/>
  <c r="E239" i="1"/>
  <c r="E225" i="1"/>
  <c r="E208" i="1"/>
  <c r="E195" i="1"/>
  <c r="E177" i="1"/>
  <c r="E161" i="1"/>
  <c r="E143" i="1"/>
  <c r="E127" i="1"/>
  <c r="E107" i="1"/>
  <c r="E95" i="1"/>
  <c r="E77" i="1"/>
  <c r="E53" i="1"/>
  <c r="E29" i="1"/>
  <c r="F269" i="1"/>
  <c r="F245" i="1"/>
  <c r="F219" i="1"/>
  <c r="F196" i="1"/>
  <c r="F170" i="1"/>
  <c r="F145" i="1"/>
  <c r="F118" i="1"/>
  <c r="F91" i="1"/>
  <c r="F55" i="1"/>
  <c r="F6" i="1"/>
  <c r="G303" i="1" l="1"/>
  <c r="G179" i="1"/>
  <c r="G300" i="1"/>
  <c r="G298" i="1"/>
  <c r="G301" i="1"/>
  <c r="G302" i="1"/>
  <c r="G299" i="1"/>
  <c r="G154" i="1"/>
  <c r="G13" i="1"/>
  <c r="G296" i="1"/>
  <c r="G297" i="1"/>
  <c r="G295" i="1"/>
  <c r="G293" i="1"/>
  <c r="G132" i="1"/>
  <c r="G146" i="1"/>
  <c r="G212" i="1"/>
  <c r="G111" i="1"/>
  <c r="G174" i="1"/>
  <c r="G75" i="1"/>
  <c r="G162" i="1"/>
  <c r="G51" i="1"/>
  <c r="G288" i="1"/>
  <c r="G163" i="1"/>
  <c r="G112" i="1"/>
  <c r="G143" i="1"/>
  <c r="G105" i="1"/>
  <c r="G213" i="1"/>
  <c r="G238" i="1"/>
  <c r="G61" i="1"/>
  <c r="G106" i="1"/>
  <c r="G214" i="1"/>
  <c r="G168" i="1"/>
  <c r="G287" i="1"/>
  <c r="G30" i="1"/>
  <c r="G29" i="1"/>
  <c r="G53" i="1"/>
  <c r="G81" i="1"/>
  <c r="G170" i="1"/>
  <c r="G52" i="1"/>
  <c r="G118" i="1"/>
  <c r="G221" i="1"/>
  <c r="G140" i="1"/>
  <c r="G279" i="1"/>
  <c r="G188" i="1"/>
  <c r="G134" i="1"/>
  <c r="G86" i="1"/>
  <c r="G83" i="1"/>
  <c r="G33" i="1"/>
  <c r="G160" i="1"/>
  <c r="G230" i="1"/>
  <c r="G209" i="1"/>
  <c r="G200" i="1"/>
  <c r="G247" i="1"/>
  <c r="G46" i="1"/>
  <c r="G10" i="1"/>
  <c r="G244" i="1"/>
  <c r="G183" i="1"/>
  <c r="G255" i="1"/>
  <c r="G153" i="1"/>
  <c r="G98" i="1"/>
  <c r="G15" i="1"/>
  <c r="G79" i="1"/>
  <c r="G64" i="1"/>
  <c r="G138" i="1"/>
  <c r="G148" i="1"/>
  <c r="G275" i="1"/>
  <c r="G45" i="1"/>
  <c r="G283" i="1"/>
  <c r="G7" i="1"/>
  <c r="G99" i="1"/>
  <c r="G27" i="1"/>
  <c r="G266" i="1"/>
  <c r="G234" i="1"/>
  <c r="G198" i="1"/>
  <c r="G191" i="1"/>
  <c r="G228" i="1"/>
  <c r="G119" i="1"/>
  <c r="G109" i="1"/>
  <c r="G271" i="1"/>
  <c r="G281" i="1"/>
  <c r="G263" i="1"/>
  <c r="G67" i="1"/>
  <c r="G205" i="1"/>
  <c r="G70" i="1"/>
  <c r="G76" i="1"/>
  <c r="G107" i="1"/>
  <c r="G178" i="1"/>
  <c r="G78" i="1"/>
  <c r="G40" i="1"/>
  <c r="G196" i="1"/>
  <c r="G272" i="1"/>
  <c r="G97" i="1"/>
  <c r="G277" i="1"/>
  <c r="G121" i="1"/>
  <c r="G73" i="1"/>
  <c r="G215" i="1"/>
  <c r="G195" i="1"/>
  <c r="G245" i="1"/>
  <c r="G246" i="1"/>
  <c r="G254" i="1"/>
  <c r="G278" i="1"/>
  <c r="G55" i="1"/>
  <c r="G240" i="1"/>
  <c r="G136" i="1"/>
  <c r="G187" i="1"/>
  <c r="G258" i="1"/>
  <c r="G194" i="1"/>
  <c r="G58" i="1"/>
  <c r="G282" i="1"/>
  <c r="G270" i="1"/>
  <c r="G192" i="1"/>
  <c r="G232" i="1"/>
  <c r="G74" i="1"/>
  <c r="G139" i="1"/>
  <c r="G224" i="1"/>
  <c r="G211" i="1"/>
  <c r="G126" i="1"/>
  <c r="G100" i="1"/>
  <c r="G93" i="1"/>
  <c r="G63" i="1"/>
  <c r="G235" i="1"/>
  <c r="G276" i="1"/>
  <c r="G182" i="1"/>
  <c r="G122" i="1"/>
  <c r="G203" i="1"/>
  <c r="G173" i="1"/>
  <c r="G32" i="1"/>
  <c r="G22" i="1"/>
  <c r="G202" i="1"/>
  <c r="G161" i="1"/>
  <c r="G226" i="1"/>
  <c r="G54" i="1"/>
  <c r="G123" i="1"/>
  <c r="G59" i="1"/>
  <c r="G257" i="1"/>
  <c r="G152" i="1"/>
  <c r="G158" i="1"/>
  <c r="G227" i="1"/>
  <c r="G133" i="1"/>
  <c r="G50" i="1"/>
  <c r="G185" i="1"/>
  <c r="G291" i="1"/>
  <c r="G142" i="1"/>
  <c r="G65" i="1"/>
  <c r="G223" i="1"/>
  <c r="G20" i="1"/>
  <c r="G233" i="1"/>
  <c r="G125" i="1"/>
  <c r="G204" i="1"/>
  <c r="G284" i="1"/>
  <c r="G34" i="1"/>
  <c r="G207" i="1"/>
  <c r="G66" i="1"/>
  <c r="G141" i="1"/>
  <c r="G210" i="1"/>
  <c r="G259" i="1"/>
  <c r="G108" i="1"/>
  <c r="G80" i="1"/>
  <c r="G274" i="1"/>
  <c r="G147" i="1"/>
  <c r="G252" i="1"/>
  <c r="G253" i="1"/>
  <c r="G201" i="1"/>
  <c r="G180" i="1"/>
  <c r="G186" i="1"/>
  <c r="G171" i="1"/>
  <c r="G217" i="1"/>
  <c r="G250" i="1"/>
  <c r="G26" i="1"/>
  <c r="G260" i="1"/>
  <c r="G176" i="1"/>
  <c r="G229" i="1"/>
  <c r="G77" i="1"/>
  <c r="G110" i="1"/>
  <c r="G101" i="1"/>
  <c r="G48" i="1"/>
  <c r="G82" i="1"/>
  <c r="G88" i="1"/>
  <c r="G24" i="1"/>
  <c r="G128" i="1"/>
  <c r="G193" i="1"/>
  <c r="G90" i="1"/>
  <c r="G242" i="1"/>
  <c r="G21" i="1"/>
  <c r="G28" i="1"/>
  <c r="G285" i="1"/>
  <c r="G135" i="1"/>
  <c r="G35" i="1"/>
  <c r="G243" i="1"/>
  <c r="G116" i="1"/>
  <c r="G62" i="1"/>
  <c r="G249" i="1"/>
  <c r="G92" i="1"/>
  <c r="G264" i="1"/>
  <c r="G177" i="1"/>
  <c r="G151" i="1"/>
  <c r="G38" i="1"/>
  <c r="G85" i="1"/>
  <c r="G44" i="1"/>
  <c r="G129" i="1"/>
  <c r="G248" i="1"/>
  <c r="G289" i="1"/>
  <c r="G166" i="1"/>
  <c r="G167" i="1"/>
  <c r="G273" i="1"/>
  <c r="G124" i="1"/>
  <c r="G39" i="1"/>
  <c r="G256" i="1"/>
  <c r="G5" i="1"/>
  <c r="G18" i="1"/>
  <c r="G87" i="1"/>
  <c r="G225" i="1"/>
  <c r="G56" i="1"/>
  <c r="G290" i="1"/>
  <c r="G43" i="1"/>
  <c r="G6" i="1"/>
  <c r="G149" i="1"/>
  <c r="G222" i="1"/>
  <c r="G172" i="1"/>
  <c r="G37" i="1"/>
  <c r="G94" i="1"/>
  <c r="G4" i="1"/>
  <c r="G47" i="1"/>
  <c r="G280" i="1"/>
  <c r="G9" i="1"/>
  <c r="G208" i="1"/>
  <c r="G103" i="1"/>
  <c r="G197" i="1"/>
  <c r="G292" i="1"/>
  <c r="G218" i="1"/>
  <c r="G16" i="1"/>
  <c r="G219" i="1"/>
  <c r="G237" i="1"/>
  <c r="G164" i="1"/>
  <c r="G127" i="1"/>
  <c r="G199" i="1"/>
  <c r="G150" i="1"/>
  <c r="G12" i="1"/>
  <c r="G95" i="1"/>
  <c r="G267" i="1"/>
  <c r="G113" i="1"/>
  <c r="G68" i="1"/>
  <c r="G23" i="1"/>
  <c r="G241" i="1"/>
  <c r="G96" i="1"/>
  <c r="G117" i="1"/>
  <c r="G251" i="1"/>
  <c r="G31" i="1"/>
  <c r="G130" i="1"/>
  <c r="G19" i="1"/>
  <c r="G84" i="1"/>
  <c r="G159" i="1"/>
  <c r="G120" i="1"/>
  <c r="G71" i="1"/>
  <c r="G262" i="1"/>
  <c r="G69" i="1"/>
  <c r="G14" i="1"/>
  <c r="G72" i="1"/>
  <c r="G169" i="1"/>
  <c r="G184" i="1"/>
  <c r="G89" i="1"/>
  <c r="G60" i="1"/>
  <c r="G216" i="1"/>
  <c r="G261" i="1"/>
  <c r="G206" i="1"/>
  <c r="G181" i="1"/>
  <c r="G104" i="1"/>
  <c r="G137" i="1"/>
  <c r="G91" i="1"/>
  <c r="G144" i="1"/>
  <c r="G25" i="1"/>
  <c r="G269" i="1"/>
  <c r="G114" i="1"/>
  <c r="G231" i="1"/>
  <c r="G155" i="1"/>
  <c r="G220" i="1"/>
  <c r="G36" i="1"/>
  <c r="G265" i="1"/>
  <c r="G268" i="1"/>
  <c r="G236" i="1"/>
  <c r="G165" i="1"/>
  <c r="G102" i="1"/>
  <c r="G239" i="1"/>
  <c r="G189" i="1"/>
  <c r="G157" i="1"/>
  <c r="G11" i="1"/>
  <c r="G17" i="1"/>
  <c r="G49" i="1"/>
  <c r="G286" i="1"/>
  <c r="G57" i="1"/>
  <c r="G145" i="1"/>
  <c r="G8" i="1"/>
  <c r="G175" i="1"/>
  <c r="G42" i="1"/>
  <c r="G156" i="1"/>
  <c r="G131" i="1"/>
  <c r="G41" i="1"/>
  <c r="G190" i="1"/>
</calcChain>
</file>

<file path=xl/sharedStrings.xml><?xml version="1.0" encoding="utf-8"?>
<sst xmlns="http://schemas.openxmlformats.org/spreadsheetml/2006/main" count="1217" uniqueCount="624">
  <si>
    <t>PRODUCTOS</t>
  </si>
  <si>
    <t>ENTRADAS</t>
  </si>
  <si>
    <t>SALIDAS</t>
  </si>
  <si>
    <t>CÓDIGO DEL PRODUCTO</t>
  </si>
  <si>
    <t>NOMBRE DEL PRODUCTO</t>
  </si>
  <si>
    <t>STOCK</t>
  </si>
  <si>
    <t>COD</t>
  </si>
  <si>
    <t>PRODUCTO</t>
  </si>
  <si>
    <t>FECHA</t>
  </si>
  <si>
    <t>CANTIDAD</t>
  </si>
  <si>
    <t>10282</t>
  </si>
  <si>
    <t>Conector Glándula 3/4"</t>
  </si>
  <si>
    <t>1091</t>
  </si>
  <si>
    <t>RM-91 25X16X16 STD C/S C K 23ECT C/25</t>
  </si>
  <si>
    <t>1133</t>
  </si>
  <si>
    <t>(BVGU) Base Para Lampara GU10</t>
  </si>
  <si>
    <t>120127</t>
  </si>
  <si>
    <t>CINTA CANELA 48MM X 150M HOTMELT C/36</t>
  </si>
  <si>
    <t>12019</t>
  </si>
  <si>
    <t>CINTA BCA FRAGIL 48MM X 150M ACRILICA C/36</t>
  </si>
  <si>
    <t>12130</t>
  </si>
  <si>
    <t>POLYSTRECH 9" /CAL 60 / 1000, 1.20 kg</t>
  </si>
  <si>
    <t>122012</t>
  </si>
  <si>
    <t>FOCO LED 4W VELA E12</t>
  </si>
  <si>
    <t>13049</t>
  </si>
  <si>
    <t>BURBUJA CH 3/16" 0.6M X 10ML RLL</t>
  </si>
  <si>
    <t>1344</t>
  </si>
  <si>
    <t>RM-344 15X15X160 TELESCOPICA PEG T/F C/S C K 23ECT C/5</t>
  </si>
  <si>
    <t>1349</t>
  </si>
  <si>
    <t>Conector Glandula 1/2"</t>
  </si>
  <si>
    <t>1497</t>
  </si>
  <si>
    <t>Conector Glandula 3/4"</t>
  </si>
  <si>
    <t>202120-02</t>
  </si>
  <si>
    <t>Tubo LED 18W Trasnparente 1 Polo</t>
  </si>
  <si>
    <t>2440</t>
  </si>
  <si>
    <t>CRR ARB 26ECT 23.0X23.0X1.25 FC</t>
  </si>
  <si>
    <t>2523</t>
  </si>
  <si>
    <t>SENSOR DE MOVIMIENTO DE PARED</t>
  </si>
  <si>
    <t>27</t>
  </si>
  <si>
    <t>GUIA ELECT MARLIN 10 MT NYL ON BCO</t>
  </si>
  <si>
    <t>28</t>
  </si>
  <si>
    <t>GUIA ELECT MARLIN 15 MT NYL ON BC0</t>
  </si>
  <si>
    <t>3004</t>
  </si>
  <si>
    <t>SOCKET LATONADO SENCILLO</t>
  </si>
  <si>
    <t>3005</t>
  </si>
  <si>
    <t>SOCKET LATONADO INTER/BARRA</t>
  </si>
  <si>
    <t>3006</t>
  </si>
  <si>
    <t>SOCKET LATON CON CADENA</t>
  </si>
  <si>
    <t>3007</t>
  </si>
  <si>
    <t>SOCKET AE-146 NGO INTER/BARRA</t>
  </si>
  <si>
    <t>3008</t>
  </si>
  <si>
    <t>SOCKET NEGRO CON CADENA</t>
  </si>
  <si>
    <t>3132</t>
  </si>
  <si>
    <t>MUFA CON ROSCA 1 1/ 4</t>
  </si>
  <si>
    <t>3736</t>
  </si>
  <si>
    <t>BASE ARGOS SLIM (JGO) T5 94 00992</t>
  </si>
  <si>
    <t>40725</t>
  </si>
  <si>
    <t>FOCO WANERGY RGB T/BOCINA 40 W BLUETOOTH</t>
  </si>
  <si>
    <t>40983</t>
  </si>
  <si>
    <t>REPUESTO WANERGY PARA PLAFON LED 24W</t>
  </si>
  <si>
    <t>40986</t>
  </si>
  <si>
    <t>REPUESTO WANERGY PARA PLAFON LED 18W</t>
  </si>
  <si>
    <t>40987</t>
  </si>
  <si>
    <t>40988</t>
  </si>
  <si>
    <t>REPUESTO WANERGY PARA PLAFON LED 36W</t>
  </si>
  <si>
    <t>41132</t>
  </si>
  <si>
    <t>REFLECTOR WANERGY LED LUZ NEGRA 50W</t>
  </si>
  <si>
    <t>4285</t>
  </si>
  <si>
    <t>DESARMADOR ARGOS PROBADOR 140MM C H</t>
  </si>
  <si>
    <t>4286</t>
  </si>
  <si>
    <t>DESARMADOR ARGOS PROBADOR 190MM G DE</t>
  </si>
  <si>
    <t>4313-B</t>
  </si>
  <si>
    <t>Regleta Aluminio 60cm 8W ADIR</t>
  </si>
  <si>
    <t>4379</t>
  </si>
  <si>
    <t>CLAVIJA TIPO 3 CONT NARANJA</t>
  </si>
  <si>
    <t>5001</t>
  </si>
  <si>
    <t>PLIEGO KRAFT 26 ECT 1.00X1.50 F/C STOCK*</t>
  </si>
  <si>
    <t>5002-A</t>
  </si>
  <si>
    <t>PAPEL ENVOL KRAFT 90 GMS x 100 CMS</t>
  </si>
  <si>
    <t>505W24</t>
  </si>
  <si>
    <t>REPUESTO 24W</t>
  </si>
  <si>
    <t>50852Z</t>
  </si>
  <si>
    <t>TUBO FLUORESCENTE T8 32W</t>
  </si>
  <si>
    <t>5479</t>
  </si>
  <si>
    <t>REFLECTOR MEDICINAL 250W ROJO</t>
  </si>
  <si>
    <t>5551</t>
  </si>
  <si>
    <t>SOCKET C/ NIPLE</t>
  </si>
  <si>
    <t>6001</t>
  </si>
  <si>
    <t>CINTA CANELA 48X150 JANEL</t>
  </si>
  <si>
    <t>6001-A</t>
  </si>
  <si>
    <t>CINTA TRANSPARENTE 48X150 JANEL</t>
  </si>
  <si>
    <t>6004</t>
  </si>
  <si>
    <t>CINTA FRAGIL 48X150</t>
  </si>
  <si>
    <t>60089</t>
  </si>
  <si>
    <t>Gabinete LED 100W</t>
  </si>
  <si>
    <t>6015</t>
  </si>
  <si>
    <t>Foco Rojo Medicinal 250W Adir</t>
  </si>
  <si>
    <t>6036</t>
  </si>
  <si>
    <t>Cita Canela 3</t>
  </si>
  <si>
    <t>6056</t>
  </si>
  <si>
    <t>CINTA CANELA 48X150 MTS SILVER</t>
  </si>
  <si>
    <t>6683-B</t>
  </si>
  <si>
    <t>Repuesto LED Redondo 12W ADIR</t>
  </si>
  <si>
    <t>6687-B</t>
  </si>
  <si>
    <t>Repuesto LED Redondo 18W ADIR</t>
  </si>
  <si>
    <t>6689-B</t>
  </si>
  <si>
    <t>Repuesto LED Redondo 24W ADIR</t>
  </si>
  <si>
    <t>6691-B</t>
  </si>
  <si>
    <t>Repuesto LED Redondo 36W ADIR</t>
  </si>
  <si>
    <t>6910</t>
  </si>
  <si>
    <t>SOCKET CERAMICA T. CANDIL</t>
  </si>
  <si>
    <t>7303</t>
  </si>
  <si>
    <t>SOCKET SAMY SS4 ROSCA BLANCO</t>
  </si>
  <si>
    <t>7331</t>
  </si>
  <si>
    <t>CONTACTO TRIPLE CON CLAVIJA</t>
  </si>
  <si>
    <t>7345</t>
  </si>
  <si>
    <t>APAGADOR SAMY AC5 VISIBLE CUAD RADO</t>
  </si>
  <si>
    <t>7353</t>
  </si>
  <si>
    <t>PLACA SAMY P4 ALUM CIEGA</t>
  </si>
  <si>
    <t>7355</t>
  </si>
  <si>
    <t>PLACA SAMY P6 ALUM DUPLEX</t>
  </si>
  <si>
    <t>7365</t>
  </si>
  <si>
    <t>PLACA SAMY P12 MARFIL DUPLE X</t>
  </si>
  <si>
    <t>7502237370008</t>
  </si>
  <si>
    <t>PAQ HOJAS</t>
  </si>
  <si>
    <t>7659</t>
  </si>
  <si>
    <t>Gabinete 40W 6500K Opalino</t>
  </si>
  <si>
    <t>7664</t>
  </si>
  <si>
    <t>Gabinete 20W 6500K Opalino</t>
  </si>
  <si>
    <t>8030-A</t>
  </si>
  <si>
    <t>MTS POLIFOAM 1/4 " 2X55 MTS</t>
  </si>
  <si>
    <t>8298-B</t>
  </si>
  <si>
    <t>Regleta Plastico 60 cm 8W MAVRIK</t>
  </si>
  <si>
    <t>8361</t>
  </si>
  <si>
    <t>CLAVIJA TRIPLE</t>
  </si>
  <si>
    <t>8852-B</t>
  </si>
  <si>
    <t>Repuesto Redondo LED 12W Mavrik</t>
  </si>
  <si>
    <t>8853-B</t>
  </si>
  <si>
    <t>Repuesto Redondo LED 18W Mavrik</t>
  </si>
  <si>
    <t>8854-B</t>
  </si>
  <si>
    <t>8980-B</t>
  </si>
  <si>
    <t>Foco Caiman 24W 12V ADIR</t>
  </si>
  <si>
    <t>9400992</t>
  </si>
  <si>
    <t>(BF-620) Base Flte T5 G5 c/centro d/seguridad</t>
  </si>
  <si>
    <t>9510</t>
  </si>
  <si>
    <t>EXTRACTOR DE AIRE 4"</t>
  </si>
  <si>
    <t>9512</t>
  </si>
  <si>
    <t>EXTRACTOR DE AIRE 6"</t>
  </si>
  <si>
    <t>A-1135</t>
  </si>
  <si>
    <t>BASE G9 (BVG9)</t>
  </si>
  <si>
    <t>ARB/15WL</t>
  </si>
  <si>
    <t>Arbotante para baño (Largo)</t>
  </si>
  <si>
    <t>BFC5</t>
  </si>
  <si>
    <t>Base chupon T5</t>
  </si>
  <si>
    <t>BFC8</t>
  </si>
  <si>
    <t>Base chupon T8</t>
  </si>
  <si>
    <t>BFS</t>
  </si>
  <si>
    <t>Base chupon Slim</t>
  </si>
  <si>
    <t>Bolsa</t>
  </si>
  <si>
    <t>BOLSA</t>
  </si>
  <si>
    <t>BVT5</t>
  </si>
  <si>
    <t>Clip T5 atornillable</t>
  </si>
  <si>
    <t>BVT8</t>
  </si>
  <si>
    <t>Clip T8 atornillable</t>
  </si>
  <si>
    <t>CA12-RO</t>
  </si>
  <si>
    <t>Cable Automotriz Calibre 12 - Rojo</t>
  </si>
  <si>
    <t>CA14-GRI</t>
  </si>
  <si>
    <t>Cable Automotriz Calibre 14 - Gris</t>
  </si>
  <si>
    <t>CA16-BLA</t>
  </si>
  <si>
    <t>Cable Automotriz Calibre 16 - Blanco</t>
  </si>
  <si>
    <t>CA16-CAF</t>
  </si>
  <si>
    <t>Cable Automotriz Calibre 16 - Cafe</t>
  </si>
  <si>
    <t>CA16-GRI</t>
  </si>
  <si>
    <t>Cable Automotriz Calibre 16 - Gris</t>
  </si>
  <si>
    <t>CA16-NEG</t>
  </si>
  <si>
    <t>Cable Automotriz Calibre 16 - Negro</t>
  </si>
  <si>
    <t>CA16-VER</t>
  </si>
  <si>
    <t>Cable Automotriz Calibre 16 - Verde</t>
  </si>
  <si>
    <t>CA20-BLA</t>
  </si>
  <si>
    <t>Cable Automotriz Calibre 20 - Blanco</t>
  </si>
  <si>
    <t>CA22-BLA</t>
  </si>
  <si>
    <t>Cable Automotriz Calibre 22 - Blanco</t>
  </si>
  <si>
    <t>CHMB</t>
  </si>
  <si>
    <t>CLAVIJA HEMBRA Y MACHO</t>
  </si>
  <si>
    <t>CP1412-NAR</t>
  </si>
  <si>
    <t>Capuchon Calibre 14-12 - Naranja</t>
  </si>
  <si>
    <t>CPUF</t>
  </si>
  <si>
    <t>Caja plastica</t>
  </si>
  <si>
    <t>CT1210-AM</t>
  </si>
  <si>
    <t>Conector a Tope Calibre 12 a 10 - Amarillo</t>
  </si>
  <si>
    <t>CT1614-AZ</t>
  </si>
  <si>
    <t>Conector a Tope Calibre 16 a 14 - Azul</t>
  </si>
  <si>
    <t>CT2218-ROJ</t>
  </si>
  <si>
    <t>Conector a Tope Calibre 22 a 18 - Rojo</t>
  </si>
  <si>
    <t>CUR12</t>
  </si>
  <si>
    <t>CONECTOR P/USO RUDO 1/2"</t>
  </si>
  <si>
    <t>CUR34</t>
  </si>
  <si>
    <t>CONECTOR P/USO RUDO 3/4"</t>
  </si>
  <si>
    <t>CURO</t>
  </si>
  <si>
    <t>CAPUCHON ROJO</t>
  </si>
  <si>
    <t>CV</t>
  </si>
  <si>
    <t>CONECTOR PARA VARILLA</t>
  </si>
  <si>
    <t>CX-001</t>
  </si>
  <si>
    <t>Socket Sencillo de Baquelita Negro</t>
  </si>
  <si>
    <t>CX-002</t>
  </si>
  <si>
    <t>REDUCCIÓN BUSCHING 1 1/4"- 1/2"</t>
  </si>
  <si>
    <t>E-DIN</t>
  </si>
  <si>
    <t>Timbre Alambrico</t>
  </si>
  <si>
    <t>E-FLAG</t>
  </si>
  <si>
    <t>Timbre inalambrico 32 melodias</t>
  </si>
  <si>
    <t>E-LAIN</t>
  </si>
  <si>
    <t>TIMBRE INALÁMBRICO 32 MELODÍAS</t>
  </si>
  <si>
    <t>E-SHEL</t>
  </si>
  <si>
    <t>Timbre Alambrico Shel</t>
  </si>
  <si>
    <t>EC-121</t>
  </si>
  <si>
    <t>Clavija de hule redonda 15A 125W</t>
  </si>
  <si>
    <t>EC-1709</t>
  </si>
  <si>
    <t>Clavija de Hule con Tierra Y Abrazaderas 2 Polos 15A</t>
  </si>
  <si>
    <t>EC-2867</t>
  </si>
  <si>
    <t>Clavija Blindada con Tierra y Abrazaderas 15A</t>
  </si>
  <si>
    <t>EC-2887</t>
  </si>
  <si>
    <t>Contacto Blindado con Tierra Y Abrazaderas 2 Polos 15A</t>
  </si>
  <si>
    <t>EC-396N</t>
  </si>
  <si>
    <t>CLAVIJA PLANA 15A 125V NEGRO</t>
  </si>
  <si>
    <t>EC-399B</t>
  </si>
  <si>
    <t>Clavija sencilla 10A Blanco</t>
  </si>
  <si>
    <t>EC-419</t>
  </si>
  <si>
    <t>Clavija Convertidora Naranja</t>
  </si>
  <si>
    <t>EC-500</t>
  </si>
  <si>
    <t>Clavija sencilla 15A Negra</t>
  </si>
  <si>
    <t>ECA-2000</t>
  </si>
  <si>
    <t>Calentador inmersión agua 35L 125V 2000W 60Hz</t>
  </si>
  <si>
    <t>EE-130</t>
  </si>
  <si>
    <t>INTERRUPTOR OCULTO SENCILLO 1 POLO</t>
  </si>
  <si>
    <t>EE-1962</t>
  </si>
  <si>
    <t>Placa Plastico Duplex para Intemperie Gris</t>
  </si>
  <si>
    <t>EE-2132B</t>
  </si>
  <si>
    <t>Placa Duplex Nylon Blanco</t>
  </si>
  <si>
    <t>EE-270</t>
  </si>
  <si>
    <t>RECEPTACULO OCULTO DUPLEX ATERIZADO MARFIL</t>
  </si>
  <si>
    <t>EE-270B</t>
  </si>
  <si>
    <t>Contacto Duplex Aterrizado 15A Blanco</t>
  </si>
  <si>
    <t>EE-273B</t>
  </si>
  <si>
    <t>INTERRUPTOR Y RECEPTACULO OCULTO 2 POLOS</t>
  </si>
  <si>
    <t>EL-205M</t>
  </si>
  <si>
    <t>Contacto polarizado c/tierra MARFIL</t>
  </si>
  <si>
    <t>EP-01</t>
  </si>
  <si>
    <t>Socket Redondo MR-16</t>
  </si>
  <si>
    <t>EP-06</t>
  </si>
  <si>
    <t>Base cuadrada para lámpara MR-16.</t>
  </si>
  <si>
    <t>EP-145</t>
  </si>
  <si>
    <t>Socket Intemperie con Cables E26 Hule-Porcelana</t>
  </si>
  <si>
    <t>EP-314</t>
  </si>
  <si>
    <t>Socket Base Redonda 3 1/4" E-26 Porcelana</t>
  </si>
  <si>
    <t>EP-400A</t>
  </si>
  <si>
    <t>Socket Base Redonda Aabierta 4" E-26 Porcelana</t>
  </si>
  <si>
    <t>EP-502</t>
  </si>
  <si>
    <t>Socket 2 Orificios con Tornillos E-26</t>
  </si>
  <si>
    <t>EP-505</t>
  </si>
  <si>
    <t>Socket 2 Orificios con Cables E-26</t>
  </si>
  <si>
    <t>EP-506</t>
  </si>
  <si>
    <t>Socket con Escuadra E-26</t>
  </si>
  <si>
    <t>EP-517</t>
  </si>
  <si>
    <t>Socket Base Cuadrada E-26</t>
  </si>
  <si>
    <t>EP-610</t>
  </si>
  <si>
    <t>PORTALAMPARA ANUNCIO CON CONTRATUERCA E-26</t>
  </si>
  <si>
    <t>EP-623</t>
  </si>
  <si>
    <t>Socket Extramiñon 7 1/2 E-12 Verde</t>
  </si>
  <si>
    <t>EP-7021</t>
  </si>
  <si>
    <t>Socket contratuerca para niple Negro</t>
  </si>
  <si>
    <t>EP-715</t>
  </si>
  <si>
    <t>Socket con contacto doble Cafe</t>
  </si>
  <si>
    <t>EP-718</t>
  </si>
  <si>
    <t>Socket con contacto y apagador de cadena Cafe</t>
  </si>
  <si>
    <t>EP-9002B</t>
  </si>
  <si>
    <t>Portalámpara c/ clavija E-26 127V 60HZ 660W BLANCO</t>
  </si>
  <si>
    <t>EP-990</t>
  </si>
  <si>
    <t>PORTALAMPARA 2 ORIFICIOS MOGUL E-40 16A 250V 1500W</t>
  </si>
  <si>
    <t>ER-078</t>
  </si>
  <si>
    <t>Contacto Duplex Visible con Tierra 15A Marfil</t>
  </si>
  <si>
    <t>ER-106</t>
  </si>
  <si>
    <t>Contacto para extensión triple Marfil</t>
  </si>
  <si>
    <t>ER-743</t>
  </si>
  <si>
    <t>Contacto Triple con Tierra 15A Cafe</t>
  </si>
  <si>
    <t>ER-860M</t>
  </si>
  <si>
    <t>Multicontacto 6 Conexiones 15A Marfil</t>
  </si>
  <si>
    <t>ER-860N</t>
  </si>
  <si>
    <t>Multicontacto 6 Conexiones 15A Negro</t>
  </si>
  <si>
    <t>ETQ-741</t>
  </si>
  <si>
    <t>APAGADOR INTERCAMBIABLE ESCALERA 125V 10A</t>
  </si>
  <si>
    <t>ETQ-780</t>
  </si>
  <si>
    <t>BOTON TIMBRE LINEA INTERCAMBIABLE 10A 125V</t>
  </si>
  <si>
    <t>EW-100M</t>
  </si>
  <si>
    <t>Apagador sencillo intercambiable MARFIL</t>
  </si>
  <si>
    <t>EW-103B</t>
  </si>
  <si>
    <t>Apagador escalera intercambiable BLANCO</t>
  </si>
  <si>
    <t>EW-103M</t>
  </si>
  <si>
    <t>Apagador escalera intercambiable MARFIL</t>
  </si>
  <si>
    <t>EW-105B</t>
  </si>
  <si>
    <t>Contacto polarizado c/tierra 127V BLANCO</t>
  </si>
  <si>
    <t>EW-105M</t>
  </si>
  <si>
    <t>Contacto polarizado c/tierra 127V MARFIL</t>
  </si>
  <si>
    <t>EW-120B</t>
  </si>
  <si>
    <t>Placa con contacto duplex c/ tierra y chasis 15</t>
  </si>
  <si>
    <t>EXC2</t>
  </si>
  <si>
    <t>Conector para regleta 2 vias</t>
  </si>
  <si>
    <t>EXC3</t>
  </si>
  <si>
    <t>Conector para regleta 3 vias</t>
  </si>
  <si>
    <t>FABC-100</t>
  </si>
  <si>
    <t>FUSIBLE 100 AMP.</t>
  </si>
  <si>
    <t>FU0268</t>
  </si>
  <si>
    <t>LAMPARA VELADORA</t>
  </si>
  <si>
    <t>FXR12</t>
  </si>
  <si>
    <t>Conector Recto Flexible 1/2" ANCLO</t>
  </si>
  <si>
    <t>FXR34</t>
  </si>
  <si>
    <t>Conector Recto Flexible 3/4" ANCLO</t>
  </si>
  <si>
    <t>Gasolina</t>
  </si>
  <si>
    <t>EMPOTRADO PROMI 12W PARA BOTE INTEGRAL</t>
  </si>
  <si>
    <t>GE18W-SE</t>
  </si>
  <si>
    <t>Gabinete a prueba de vapor 18W</t>
  </si>
  <si>
    <t>HLR34</t>
  </si>
  <si>
    <t>Conector recto licuatite 3/4"</t>
  </si>
  <si>
    <t>HP-ALL-IN-ONE</t>
  </si>
  <si>
    <t>Computadora All In One 24 cr0352la Ci5 1</t>
  </si>
  <si>
    <t>LA-320CP/3W</t>
  </si>
  <si>
    <t>Foco LED MR16 GU10 3W 3000K</t>
  </si>
  <si>
    <t>LA-320CP/6W</t>
  </si>
  <si>
    <t>Foco Spotline Transparente 6W</t>
  </si>
  <si>
    <t>LA-507</t>
  </si>
  <si>
    <t>Lampara de Emergencia 3W 6500K</t>
  </si>
  <si>
    <t>LA-LED-T/18W</t>
  </si>
  <si>
    <t>Tubo LED T8 Transparente 18W 6500K</t>
  </si>
  <si>
    <t>LA-LED/18W</t>
  </si>
  <si>
    <t>Tubo LED T8 Opalino 18W  6500K</t>
  </si>
  <si>
    <t>LED-COB-BC</t>
  </si>
  <si>
    <t>Tira LED Cob. Blanco Cálido 12V</t>
  </si>
  <si>
    <t>LED01/04W</t>
  </si>
  <si>
    <t>Fooco Led Minican 4W G9</t>
  </si>
  <si>
    <t>LED01/4W</t>
  </si>
  <si>
    <t>LED G9 6500K</t>
  </si>
  <si>
    <t>LED01C/4W</t>
  </si>
  <si>
    <t>LED G9 2700K</t>
  </si>
  <si>
    <t>LED02/04W</t>
  </si>
  <si>
    <t>Foco Led Minican 4W G4</t>
  </si>
  <si>
    <t>LED02C/4W</t>
  </si>
  <si>
    <t>Foco Led Minican G4 Calido</t>
  </si>
  <si>
    <t>LED06/10W</t>
  </si>
  <si>
    <t>Foco LED 10W 6500K</t>
  </si>
  <si>
    <t>LED06/36W</t>
  </si>
  <si>
    <t>Foco LED 36W 6500K</t>
  </si>
  <si>
    <t>LED06/50W</t>
  </si>
  <si>
    <t>Foco LED 50W 6500K</t>
  </si>
  <si>
    <t>LED06C/50W</t>
  </si>
  <si>
    <t>Foco Led 50 W luz Cálida</t>
  </si>
  <si>
    <t>LED07/15W</t>
  </si>
  <si>
    <t>Foco LED 15W 6500K</t>
  </si>
  <si>
    <t>LR-LED/12W</t>
  </si>
  <si>
    <t>MD-507</t>
  </si>
  <si>
    <t>POSTE TROQUELADO DE 2.00 MTS. DE ALTO CAL. 14</t>
  </si>
  <si>
    <t>MD-510</t>
  </si>
  <si>
    <t>TORNILLOS DE 3/4 CON TUERCA Y GUASA</t>
  </si>
  <si>
    <t>MD-911</t>
  </si>
  <si>
    <t>ENTREPAÑO CAL 22</t>
  </si>
  <si>
    <t>MRX1244</t>
  </si>
  <si>
    <t>FOCO LED VELA 5W E12 3000K</t>
  </si>
  <si>
    <t>MYZ18W</t>
  </si>
  <si>
    <t>Repuesto Redondo 3 Tonos 18W</t>
  </si>
  <si>
    <t>MYZ36W</t>
  </si>
  <si>
    <t>REPUESTO LED REDONDO 36W</t>
  </si>
  <si>
    <t>MZ50W</t>
  </si>
  <si>
    <t>Reflector Sencillo Luz Blanca 50W</t>
  </si>
  <si>
    <t>MZN50W</t>
  </si>
  <si>
    <t>Reflector Sencillo Luz Negra 50W</t>
  </si>
  <si>
    <t>MZRGB50W</t>
  </si>
  <si>
    <t>Reflector Sencillo Multicolor (RGB) 50W</t>
  </si>
  <si>
    <t>MZY36W</t>
  </si>
  <si>
    <t>P27049-01</t>
  </si>
  <si>
    <t>Tubo LED T8 Opalino 18W 6500K 1 Polo</t>
  </si>
  <si>
    <t>PAI-C</t>
  </si>
  <si>
    <t>PLACA DE ACERADA CIEGA</t>
  </si>
  <si>
    <t>PAI-DX</t>
  </si>
  <si>
    <t>PLACA DE ACERADA DUPLEX</t>
  </si>
  <si>
    <t>PF100W</t>
  </si>
  <si>
    <t>Gabinete Acrilico 120Cm Mica Opalino 100W</t>
  </si>
  <si>
    <t>PF75W</t>
  </si>
  <si>
    <t>Gabinete 120 cm 75w</t>
  </si>
  <si>
    <t>PF80W</t>
  </si>
  <si>
    <t>Gabinete Acrilico 120Cm Mica Opalino 80W</t>
  </si>
  <si>
    <t>POSTE1</t>
  </si>
  <si>
    <t>Brazo para Suburbana</t>
  </si>
  <si>
    <t>productogenericonube</t>
  </si>
  <si>
    <t>Producto genrico del sistema Siigo Nube (POS - WhatsApp)</t>
  </si>
  <si>
    <t>Q02-22/6500K</t>
  </si>
  <si>
    <t>PLAFON EMPOTRADO CUCHILLA 16W 6500K</t>
  </si>
  <si>
    <t>S-P1</t>
  </si>
  <si>
    <t>CONECTOR P/CABLE INTERIOR METALICO 16-18AWG GRIS</t>
  </si>
  <si>
    <t>S-P2</t>
  </si>
  <si>
    <t>Conector para cable 22-14 Azul</t>
  </si>
  <si>
    <t>S09W18IB</t>
  </si>
  <si>
    <t>LUMINARIO LED PARA EMPOTRAR 18W</t>
  </si>
  <si>
    <t>S1500</t>
  </si>
  <si>
    <t>CLAVIJA TRIPLE NARANJA</t>
  </si>
  <si>
    <t>S61W18T3</t>
  </si>
  <si>
    <t>LUMINARIO LED PARA EMPOTRAR 18W 3 TONOS</t>
  </si>
  <si>
    <t>SA-017</t>
  </si>
  <si>
    <t>APAGADOR DE PRESION (PUSH) BLANCO</t>
  </si>
  <si>
    <t>SA-032B</t>
  </si>
  <si>
    <t>Apagador de paso blanco</t>
  </si>
  <si>
    <t>SA-032N</t>
  </si>
  <si>
    <t>Apagador de Paso SI-NO - Negro</t>
  </si>
  <si>
    <t>SA-102N</t>
  </si>
  <si>
    <t>APAGADOR DE PASO ROTATIVO NEGRO</t>
  </si>
  <si>
    <t>SA-104B</t>
  </si>
  <si>
    <t>Apagador de paso tipo pera blanco</t>
  </si>
  <si>
    <t>SA-104N</t>
  </si>
  <si>
    <t>APAGADOR DE PASO T/PERA GRANDE NEGRO</t>
  </si>
  <si>
    <t>SA-106</t>
  </si>
  <si>
    <t>Apagador de paso deslizable blanco</t>
  </si>
  <si>
    <t>SA-227N</t>
  </si>
  <si>
    <t>Apagador de paso para piso Negro</t>
  </si>
  <si>
    <t>SA-307B</t>
  </si>
  <si>
    <t>APAGADOR DE PASO RECTANGULAR 3A.125V. BLANCO</t>
  </si>
  <si>
    <t>SA-307N</t>
  </si>
  <si>
    <t>APAGADOR DE PASO RECTANGULAR 3A.125V. NEGRO</t>
  </si>
  <si>
    <t>SA-CA06</t>
  </si>
  <si>
    <t>FUSIBLE 60 AMP</t>
  </si>
  <si>
    <t>SA-CA08</t>
  </si>
  <si>
    <t>FUSIBLE REFORZADO 30A C/ASA</t>
  </si>
  <si>
    <t>SC-504</t>
  </si>
  <si>
    <t>Contacto de hule 15A Negro</t>
  </si>
  <si>
    <t>SC-862</t>
  </si>
  <si>
    <t>Clavija Blindada Polarizada 15 A</t>
  </si>
  <si>
    <t>SCC-02</t>
  </si>
  <si>
    <t>Socket de ceramica con cable</t>
  </si>
  <si>
    <t>SE-1961</t>
  </si>
  <si>
    <t>PLACA PLASTICO SENCILLA PARA INTEMPERIE GRIS</t>
  </si>
  <si>
    <t>SE-2132B</t>
  </si>
  <si>
    <t>PLACA DUPLEX ABS BLANCO</t>
  </si>
  <si>
    <t>SE-2132M</t>
  </si>
  <si>
    <t>Placa Duplex Marfil</t>
  </si>
  <si>
    <t>SE-2132N</t>
  </si>
  <si>
    <t>Placa Duplex Naranja</t>
  </si>
  <si>
    <t>SE-270B</t>
  </si>
  <si>
    <t>RECEPTACULO OCULTO DUPLEX ATERRIZADO 2 POLOS15A 125V 60H</t>
  </si>
  <si>
    <t>SE-300</t>
  </si>
  <si>
    <t>RECEPTACULO C/INTERRUPTOR POR FALLA A TIERRA 15A 125V 60Hz</t>
  </si>
  <si>
    <t>SE-300P</t>
  </si>
  <si>
    <t>CONTACTO DUPLEX TIERRA AISLADA PARA PISO</t>
  </si>
  <si>
    <t>SE-830B</t>
  </si>
  <si>
    <t>Contacto Duplex 20A Tierra Aislada Blanco</t>
  </si>
  <si>
    <t>SE-830N</t>
  </si>
  <si>
    <t>Contacto Duplex 20A Tierra Aislada Naranja</t>
  </si>
  <si>
    <t>SF-217</t>
  </si>
  <si>
    <t>Socket para Tubo LED T-8</t>
  </si>
  <si>
    <t>SI-101</t>
  </si>
  <si>
    <t>INTERRUPTOR DE BALANCIN C/PILOTO 4A.220V. NEGRO</t>
  </si>
  <si>
    <t>SI-1021</t>
  </si>
  <si>
    <t>Interruptor de palanca</t>
  </si>
  <si>
    <t>SI-13</t>
  </si>
  <si>
    <t>Interruptor de Balancin Redondo Negro</t>
  </si>
  <si>
    <t>SI-13P</t>
  </si>
  <si>
    <t>Interruptor de Balancin Redondo con Piloto</t>
  </si>
  <si>
    <t>SI-203</t>
  </si>
  <si>
    <t>Interruptor de palanca con cables</t>
  </si>
  <si>
    <t>SI-208</t>
  </si>
  <si>
    <t>INTERRUPTOR DE CADENA 3 VELOCIDADES 4 POSICIONES</t>
  </si>
  <si>
    <t>SI-209</t>
  </si>
  <si>
    <t>Interruptor de cadena 2 circuitos 4 posiciones</t>
  </si>
  <si>
    <t>SI-507</t>
  </si>
  <si>
    <t>Interruptor de presión redondo 3A 125V Rojo</t>
  </si>
  <si>
    <t>SI-606</t>
  </si>
  <si>
    <t>INTERRUPTOR DE BALANCIN: SI/NO NEGRO</t>
  </si>
  <si>
    <t>SI-7001</t>
  </si>
  <si>
    <t>Interruptor de cadena 2 posiciones</t>
  </si>
  <si>
    <t>SP-1000C</t>
  </si>
  <si>
    <t>Socket con rosca Cafe</t>
  </si>
  <si>
    <t>SP-145</t>
  </si>
  <si>
    <t>Socket para intemperie con cables</t>
  </si>
  <si>
    <t>SP-212C</t>
  </si>
  <si>
    <t>Socket para niple E-12 corto</t>
  </si>
  <si>
    <t>SP-212L</t>
  </si>
  <si>
    <t>Socket para niple E-12 largo</t>
  </si>
  <si>
    <t>SP-303</t>
  </si>
  <si>
    <t>PORTALAMPARA P/NIPLE E12 125V 75W VELA 4PULG</t>
  </si>
  <si>
    <t>SP-306</t>
  </si>
  <si>
    <t>Portalámpara desnudo contratuerca c/ tornillo</t>
  </si>
  <si>
    <t>SP-313B</t>
  </si>
  <si>
    <t>Socket con rosca Blanco</t>
  </si>
  <si>
    <t>SP-313N</t>
  </si>
  <si>
    <t>Socket con Rosca Para Niple - Negro</t>
  </si>
  <si>
    <t>SP-314</t>
  </si>
  <si>
    <t>Socket para niple E-14</t>
  </si>
  <si>
    <t>SP-360M</t>
  </si>
  <si>
    <t>Socket con sensor de movimiento 360G</t>
  </si>
  <si>
    <t>SP-4026</t>
  </si>
  <si>
    <t>Socket Convertidor de E-40 A E-26</t>
  </si>
  <si>
    <t>SP-500</t>
  </si>
  <si>
    <t>PORTA LAMPARA BASE REDONDA DE 4.5" ABS E-26</t>
  </si>
  <si>
    <t>SP-6031</t>
  </si>
  <si>
    <t>Socket C/Herraje P/Niple (Vertical)</t>
  </si>
  <si>
    <t>SP-927</t>
  </si>
  <si>
    <t>Socket con Apagador Rotativo Negro</t>
  </si>
  <si>
    <t>SP-U10</t>
  </si>
  <si>
    <t>Base Redonda P/Lampara Dicroica GZ-10</t>
  </si>
  <si>
    <t>SPM-01</t>
  </si>
  <si>
    <t>Interruptor sencillo de 1 modulo, Gris</t>
  </si>
  <si>
    <t>SPM-01P</t>
  </si>
  <si>
    <t>Interruptor sencillo, 2 vías, 1 módulo. Plata</t>
  </si>
  <si>
    <t>SPM-02P</t>
  </si>
  <si>
    <t>Interruptor escalera, 3 vías, 1 módulo. Plata</t>
  </si>
  <si>
    <t>SPM-03P</t>
  </si>
  <si>
    <t>RECEPTÁCULO POLARIZADO ATERRIZADO, PLATA</t>
  </si>
  <si>
    <t>SPM-06P</t>
  </si>
  <si>
    <t>TOMA TV COAXIAL, 1 MODULO ENTRADA RG-59 PLATA</t>
  </si>
  <si>
    <t>SPM-10</t>
  </si>
  <si>
    <t>Placa de 1 módulo, Gris</t>
  </si>
  <si>
    <t>SPM-11</t>
  </si>
  <si>
    <t>Placa de 2 módulos, Gris</t>
  </si>
  <si>
    <t>SPM-12</t>
  </si>
  <si>
    <t>Placa de 3 módulos, Gris</t>
  </si>
  <si>
    <t>SQ-02</t>
  </si>
  <si>
    <t>Base para fotocelda con ménsula</t>
  </si>
  <si>
    <t>SQ-1020</t>
  </si>
  <si>
    <t>Fotocelda multivoltaje 150-285V</t>
  </si>
  <si>
    <t>SQ-105</t>
  </si>
  <si>
    <t>Fotocelta Electrica 15A</t>
  </si>
  <si>
    <t>SQ-261</t>
  </si>
  <si>
    <t>Socket con fotocelda</t>
  </si>
  <si>
    <t>SRE-100</t>
  </si>
  <si>
    <t>Calentador Electrico de Agua</t>
  </si>
  <si>
    <t>SSM-10</t>
  </si>
  <si>
    <t>Sensor de movimiento para techo, 360M</t>
  </si>
  <si>
    <t>ST-602</t>
  </si>
  <si>
    <t>Campana Timbre 76mm rojo</t>
  </si>
  <si>
    <t>ST-604</t>
  </si>
  <si>
    <t>Campana timbre 106mm Rojo</t>
  </si>
  <si>
    <t>SUBSOL/120W</t>
  </si>
  <si>
    <t>Suburbana Solar 120W (con control)</t>
  </si>
  <si>
    <t>SV-5</t>
  </si>
  <si>
    <t>CAPACITOR P/VENTILADOR</t>
  </si>
  <si>
    <t>SV-6</t>
  </si>
  <si>
    <t>CAPACITOR P/ VENTILADOR 6.OUF 250VAC 50-60HZ</t>
  </si>
  <si>
    <t>SX-10/12</t>
  </si>
  <si>
    <t>Tableta de Terminales 16A Blanco</t>
  </si>
  <si>
    <t>SX-12/12</t>
  </si>
  <si>
    <t>SX-14/12</t>
  </si>
  <si>
    <t>Tableta de Terminales 32A Blanco</t>
  </si>
  <si>
    <t>SYT100W</t>
  </si>
  <si>
    <t>SOLAR SUBURBANA INTEGRADO (CONTROL) 100W LUMICRAFT</t>
  </si>
  <si>
    <t>SYT150W</t>
  </si>
  <si>
    <t>SOLAR SUBURBANA INTEGRADO (CONTROL) 150W LUMICRAFT</t>
  </si>
  <si>
    <t>SYT200W</t>
  </si>
  <si>
    <t>Suburbana Solar 200W</t>
  </si>
  <si>
    <t>T8W30R02</t>
  </si>
  <si>
    <t>Regleta 30W</t>
  </si>
  <si>
    <t>TBAL36W</t>
  </si>
  <si>
    <t>Regleta 2 Tiras Base Aluminio 120Cm Transparente 36W</t>
  </si>
  <si>
    <t>TBAL48W</t>
  </si>
  <si>
    <t>Regleta 3 Tiras Base Aluminio 120Cm Transparente 48W</t>
  </si>
  <si>
    <t>TF34</t>
  </si>
  <si>
    <t>ROLLO TUBO LICUATITE 3/4"</t>
  </si>
  <si>
    <t>TF38</t>
  </si>
  <si>
    <t>Rollo de tubo flexible 3/8</t>
  </si>
  <si>
    <t>TUB-SUB/NL</t>
  </si>
  <si>
    <t>Tubo para Suburbana Negro Largo</t>
  </si>
  <si>
    <t>WS40W</t>
  </si>
  <si>
    <t>Plafon Inteligente Con Bocina 40W</t>
  </si>
  <si>
    <t>Total General</t>
  </si>
  <si>
    <t>CONTEO INICIAL</t>
  </si>
  <si>
    <t>d4</t>
  </si>
  <si>
    <t>Anaquel 1</t>
  </si>
  <si>
    <t>Anaquel 2</t>
  </si>
  <si>
    <t>Anaquel 3</t>
  </si>
  <si>
    <t>Color</t>
  </si>
  <si>
    <t>Ubicación</t>
  </si>
  <si>
    <t>SC-4867</t>
  </si>
  <si>
    <t>EX-19</t>
  </si>
  <si>
    <t>Material suelto</t>
  </si>
  <si>
    <t>Columna1</t>
  </si>
  <si>
    <t>Había 41</t>
  </si>
  <si>
    <t>HABÍA 12</t>
  </si>
  <si>
    <t>HAY 405</t>
  </si>
  <si>
    <t>SE-300PG</t>
  </si>
  <si>
    <t>Receptáculo con caja POP UP Dorado</t>
  </si>
  <si>
    <t>Portalámpara base redonda para MR-16</t>
  </si>
  <si>
    <t>1</t>
  </si>
  <si>
    <t>NO SIRVEN</t>
  </si>
  <si>
    <t>SP-3</t>
  </si>
  <si>
    <t>400</t>
  </si>
  <si>
    <t>SP-2</t>
  </si>
  <si>
    <t>100</t>
  </si>
  <si>
    <t>SP-1</t>
  </si>
  <si>
    <t>HABÍA 18</t>
  </si>
  <si>
    <t>HABÍA 50</t>
  </si>
  <si>
    <t>50</t>
  </si>
  <si>
    <t>HABÍA 37</t>
  </si>
  <si>
    <t>HABÍA 69</t>
  </si>
  <si>
    <t>SI-506</t>
  </si>
  <si>
    <t>SA-147</t>
  </si>
  <si>
    <t>91</t>
  </si>
  <si>
    <t>8852</t>
  </si>
  <si>
    <t>8853</t>
  </si>
  <si>
    <t>8854</t>
  </si>
  <si>
    <t>8980</t>
  </si>
  <si>
    <t>MZY18W</t>
  </si>
  <si>
    <t>HABÍA 40</t>
  </si>
  <si>
    <t>EXC</t>
  </si>
  <si>
    <t>47</t>
  </si>
  <si>
    <t>1496</t>
  </si>
  <si>
    <t>75</t>
  </si>
  <si>
    <t>S05W24</t>
  </si>
  <si>
    <t>8</t>
  </si>
  <si>
    <t>EM04W36</t>
  </si>
  <si>
    <t>Lámpara de emergencia portátil con gancho</t>
  </si>
  <si>
    <t>35</t>
  </si>
  <si>
    <t>B11W15</t>
  </si>
  <si>
    <t>192</t>
  </si>
  <si>
    <t>P2021/02</t>
  </si>
  <si>
    <t>15</t>
  </si>
  <si>
    <t>SUBSOL/180W-A</t>
  </si>
  <si>
    <t>LED06/100W</t>
  </si>
  <si>
    <t>Foco LED 100W 6500K</t>
  </si>
  <si>
    <t>4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</si>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</sst>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b/>
      <sz val="10"/>
      <color rgb="FF333333"/>
      <name val="Calibri"/>
      <family val="2"/>
    </font>
    <font>
      <sz val="10"/>
      <color rgb="FF000000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0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1F4F9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9091D"/>
      </right>
      <top style="thin">
        <color rgb="FFFFFFFF"/>
      </top>
      <bottom style="thin">
        <color rgb="FFFFFFFF"/>
      </bottom>
      <diagonal/>
    </border>
    <border>
      <left style="thin">
        <color rgb="FF81756A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81756A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81756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81756A"/>
      </right>
      <top style="thin">
        <color rgb="FFF8F9FA"/>
      </top>
      <bottom style="thin">
        <color rgb="FFF8F9FA"/>
      </bottom>
      <diagonal/>
    </border>
    <border>
      <left style="thin">
        <color rgb="FFF3F3F3"/>
      </left>
      <right style="thin">
        <color rgb="FF81756A"/>
      </right>
      <top style="thin">
        <color rgb="FFF3F3F3"/>
      </top>
      <bottom style="thin">
        <color rgb="FFF3F3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10C27"/>
      </left>
      <right style="thin">
        <color rgb="FF610C27"/>
      </right>
      <top/>
      <bottom style="thin">
        <color rgb="FF49091D"/>
      </bottom>
      <diagonal/>
    </border>
    <border>
      <left style="thin">
        <color rgb="FF610C27"/>
      </left>
      <right style="thin">
        <color rgb="FF49091D"/>
      </right>
      <top/>
      <bottom style="thin">
        <color rgb="FF49091D"/>
      </bottom>
      <diagonal/>
    </border>
    <border>
      <left style="thin">
        <color rgb="FF81756A"/>
      </left>
      <right style="thin">
        <color rgb="FFAC9C8D"/>
      </right>
      <top/>
      <bottom style="thin">
        <color rgb="FF81756A"/>
      </bottom>
      <diagonal/>
    </border>
    <border>
      <left style="thin">
        <color rgb="FFAC9C8D"/>
      </left>
      <right style="thin">
        <color rgb="FFAC9C8D"/>
      </right>
      <top/>
      <bottom style="thin">
        <color rgb="FF81756A"/>
      </bottom>
      <diagonal/>
    </border>
    <border>
      <left style="thin">
        <color rgb="FFAC9C8D"/>
      </left>
      <right style="thin">
        <color rgb="FF81756A"/>
      </right>
      <top/>
      <bottom style="thin">
        <color rgb="FF81756A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81756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81756A"/>
      </right>
      <top style="thin">
        <color rgb="FFF8F9FA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0" fillId="5" borderId="0" applyNumberFormat="0" applyBorder="0" applyAlignment="0" applyProtection="0"/>
    <xf numFmtId="0" fontId="1" fillId="6" borderId="0" applyNumberFormat="0" applyBorder="0" applyAlignment="0" applyProtection="0"/>
    <xf numFmtId="0" fontId="11" fillId="7" borderId="0" applyNumberFormat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4" fillId="0" borderId="3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49" fontId="7" fillId="4" borderId="15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0" fontId="0" fillId="0" borderId="1" xfId="0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49" fontId="7" fillId="4" borderId="9" xfId="0" applyNumberFormat="1" applyFont="1" applyFill="1" applyBorder="1" applyAlignment="1">
      <alignment horizontal="center" vertical="center" wrapText="1"/>
    </xf>
    <xf numFmtId="49" fontId="0" fillId="0" borderId="19" xfId="0" applyNumberForma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24" xfId="0" applyNumberFormat="1" applyBorder="1" applyAlignment="1">
      <alignment vertical="center" wrapText="1"/>
    </xf>
    <xf numFmtId="49" fontId="0" fillId="0" borderId="25" xfId="0" applyNumberFormat="1" applyBorder="1" applyAlignment="1">
      <alignment vertical="center" wrapText="1"/>
    </xf>
    <xf numFmtId="49" fontId="9" fillId="0" borderId="25" xfId="0" applyNumberFormat="1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8" borderId="9" xfId="0" applyFont="1" applyFill="1" applyBorder="1" applyAlignment="1">
      <alignment horizontal="center" vertical="center"/>
    </xf>
    <xf numFmtId="0" fontId="11" fillId="7" borderId="12" xfId="3" applyBorder="1" applyAlignment="1">
      <alignment horizontal="center" vertical="center"/>
    </xf>
    <xf numFmtId="0" fontId="11" fillId="7" borderId="13" xfId="3" applyBorder="1" applyAlignment="1">
      <alignment horizontal="center" vertical="center"/>
    </xf>
    <xf numFmtId="0" fontId="11" fillId="7" borderId="14" xfId="3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0" borderId="19" xfId="0" applyNumberFormat="1" applyFont="1" applyBorder="1" applyAlignment="1">
      <alignment vertical="center" wrapText="1"/>
    </xf>
    <xf numFmtId="0" fontId="9" fillId="0" borderId="0" xfId="0" applyNumberFormat="1" applyFont="1" applyBorder="1" applyAlignment="1">
      <alignment vertical="center" wrapText="1"/>
    </xf>
    <xf numFmtId="0" fontId="0" fillId="0" borderId="0" xfId="0" applyNumberFormat="1" applyBorder="1" applyAlignment="1">
      <alignment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9" fontId="0" fillId="10" borderId="25" xfId="0" applyNumberFormat="1" applyFill="1" applyBorder="1" applyAlignment="1">
      <alignment vertical="center" wrapText="1"/>
    </xf>
    <xf numFmtId="49" fontId="0" fillId="10" borderId="0" xfId="0" applyNumberFormat="1" applyFill="1" applyBorder="1" applyAlignment="1">
      <alignment vertical="center" wrapText="1"/>
    </xf>
    <xf numFmtId="0" fontId="0" fillId="10" borderId="0" xfId="0" applyNumberFormat="1" applyFill="1" applyBorder="1" applyAlignment="1">
      <alignment vertical="center" wrapText="1"/>
    </xf>
    <xf numFmtId="0" fontId="0" fillId="10" borderId="0" xfId="0" applyFill="1" applyBorder="1" applyAlignment="1">
      <alignment vertical="center"/>
    </xf>
    <xf numFmtId="0" fontId="4" fillId="10" borderId="23" xfId="0" applyFont="1" applyFill="1" applyBorder="1" applyAlignment="1">
      <alignment vertical="center"/>
    </xf>
    <xf numFmtId="49" fontId="9" fillId="10" borderId="25" xfId="0" applyNumberFormat="1" applyFont="1" applyFill="1" applyBorder="1" applyAlignment="1">
      <alignment vertical="center" wrapText="1"/>
    </xf>
    <xf numFmtId="0" fontId="9" fillId="10" borderId="0" xfId="0" applyNumberFormat="1" applyFont="1" applyFill="1" applyBorder="1" applyAlignment="1">
      <alignment vertical="center" wrapText="1"/>
    </xf>
    <xf numFmtId="0" fontId="9" fillId="0" borderId="9" xfId="0" applyFont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12" fillId="0" borderId="9" xfId="0" applyFont="1" applyBorder="1" applyAlignment="1">
      <alignment horizontal="center"/>
    </xf>
    <xf numFmtId="49" fontId="8" fillId="0" borderId="25" xfId="0" applyNumberFormat="1" applyFont="1" applyBorder="1" applyAlignment="1">
      <alignment vertical="center" wrapText="1"/>
    </xf>
    <xf numFmtId="0" fontId="0" fillId="9" borderId="0" xfId="0" applyNumberFormat="1" applyFill="1" applyBorder="1" applyAlignment="1">
      <alignment vertical="center" wrapText="1"/>
    </xf>
    <xf numFmtId="49" fontId="0" fillId="9" borderId="25" xfId="0" applyNumberFormat="1" applyFill="1" applyBorder="1" applyAlignment="1">
      <alignment vertical="center" wrapText="1"/>
    </xf>
    <xf numFmtId="49" fontId="0" fillId="9" borderId="0" xfId="0" applyNumberFormat="1" applyFill="1" applyBorder="1" applyAlignment="1">
      <alignment vertical="center" wrapText="1"/>
    </xf>
    <xf numFmtId="0" fontId="0" fillId="9" borderId="0" xfId="0" applyFill="1" applyBorder="1" applyAlignment="1">
      <alignment vertical="center"/>
    </xf>
    <xf numFmtId="0" fontId="4" fillId="9" borderId="23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9" fillId="0" borderId="0" xfId="0" applyFont="1"/>
    <xf numFmtId="49" fontId="9" fillId="9" borderId="0" xfId="0" applyNumberFormat="1" applyFont="1" applyFill="1" applyAlignment="1">
      <alignment vertical="center" wrapText="1"/>
    </xf>
    <xf numFmtId="0" fontId="0" fillId="9" borderId="0" xfId="0" applyFill="1"/>
    <xf numFmtId="0" fontId="0" fillId="9" borderId="1" xfId="0" applyFill="1" applyBorder="1" applyAlignment="1">
      <alignment vertical="center"/>
    </xf>
    <xf numFmtId="49" fontId="9" fillId="9" borderId="0" xfId="0" applyNumberFormat="1" applyFont="1" applyFill="1" applyAlignment="1">
      <alignment horizontal="right" vertical="center" wrapText="1"/>
    </xf>
    <xf numFmtId="0" fontId="0" fillId="12" borderId="0" xfId="0" applyFill="1"/>
    <xf numFmtId="0" fontId="0" fillId="13" borderId="0" xfId="0" applyFill="1"/>
    <xf numFmtId="0" fontId="9" fillId="0" borderId="0" xfId="0" applyNumberFormat="1" applyFont="1" applyFill="1" applyAlignment="1">
      <alignment vertical="center" wrapText="1"/>
    </xf>
    <xf numFmtId="49" fontId="0" fillId="14" borderId="25" xfId="0" applyNumberFormat="1" applyFill="1" applyBorder="1" applyAlignment="1">
      <alignment vertical="center" wrapText="1"/>
    </xf>
    <xf numFmtId="49" fontId="0" fillId="14" borderId="0" xfId="0" applyNumberFormat="1" applyFill="1" applyBorder="1" applyAlignment="1">
      <alignment vertical="center" wrapText="1"/>
    </xf>
    <xf numFmtId="0" fontId="0" fillId="14" borderId="0" xfId="0" applyNumberFormat="1" applyFill="1" applyBorder="1" applyAlignment="1">
      <alignment vertical="center" wrapText="1"/>
    </xf>
    <xf numFmtId="0" fontId="0" fillId="14" borderId="0" xfId="0" applyFill="1" applyBorder="1" applyAlignment="1">
      <alignment vertical="center"/>
    </xf>
    <xf numFmtId="0" fontId="4" fillId="14" borderId="23" xfId="0" applyFont="1" applyFill="1" applyBorder="1" applyAlignment="1">
      <alignment vertical="center"/>
    </xf>
    <xf numFmtId="0" fontId="0" fillId="14" borderId="9" xfId="0" applyFill="1" applyBorder="1" applyAlignment="1">
      <alignment horizontal="center"/>
    </xf>
    <xf numFmtId="49" fontId="0" fillId="12" borderId="25" xfId="0" applyNumberFormat="1" applyFill="1" applyBorder="1" applyAlignment="1">
      <alignment vertical="center" wrapText="1"/>
    </xf>
    <xf numFmtId="49" fontId="0" fillId="12" borderId="0" xfId="0" applyNumberFormat="1" applyFill="1" applyBorder="1" applyAlignment="1">
      <alignment vertical="center" wrapText="1"/>
    </xf>
    <xf numFmtId="0" fontId="0" fillId="12" borderId="0" xfId="0" applyNumberFormat="1" applyFill="1" applyBorder="1" applyAlignment="1">
      <alignment vertical="center" wrapText="1"/>
    </xf>
    <xf numFmtId="0" fontId="0" fillId="12" borderId="0" xfId="0" applyFill="1" applyBorder="1" applyAlignment="1">
      <alignment vertical="center"/>
    </xf>
    <xf numFmtId="0" fontId="4" fillId="12" borderId="23" xfId="0" applyFon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49" fontId="9" fillId="12" borderId="25" xfId="0" applyNumberFormat="1" applyFont="1" applyFill="1" applyBorder="1" applyAlignment="1">
      <alignment vertical="center" wrapText="1"/>
    </xf>
    <xf numFmtId="49" fontId="9" fillId="12" borderId="0" xfId="0" applyNumberFormat="1" applyFont="1" applyFill="1" applyBorder="1" applyAlignment="1">
      <alignment vertical="center" wrapText="1"/>
    </xf>
    <xf numFmtId="0" fontId="4" fillId="12" borderId="3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12" borderId="4" xfId="0" applyFont="1" applyFill="1" applyBorder="1" applyAlignment="1">
      <alignment vertical="center"/>
    </xf>
    <xf numFmtId="164" fontId="4" fillId="12" borderId="1" xfId="0" applyNumberFormat="1" applyFont="1" applyFill="1" applyBorder="1" applyAlignment="1">
      <alignment vertical="center"/>
    </xf>
    <xf numFmtId="49" fontId="0" fillId="14" borderId="0" xfId="0" applyNumberFormat="1" applyFill="1" applyAlignment="1">
      <alignment vertical="center" wrapText="1"/>
    </xf>
    <xf numFmtId="0" fontId="9" fillId="14" borderId="0" xfId="0" applyNumberFormat="1" applyFont="1" applyFill="1" applyAlignment="1">
      <alignment vertical="center" wrapText="1"/>
    </xf>
    <xf numFmtId="49" fontId="9" fillId="14" borderId="0" xfId="0" applyNumberFormat="1" applyFont="1" applyFill="1" applyAlignment="1">
      <alignment vertical="center" wrapText="1"/>
    </xf>
    <xf numFmtId="0" fontId="9" fillId="14" borderId="23" xfId="0" applyNumberFormat="1" applyFont="1" applyFill="1" applyBorder="1" applyAlignment="1">
      <alignment vertical="center" wrapText="1"/>
    </xf>
    <xf numFmtId="49" fontId="0" fillId="12" borderId="0" xfId="0" applyNumberFormat="1" applyFill="1" applyAlignment="1">
      <alignment vertical="center" wrapText="1"/>
    </xf>
    <xf numFmtId="49" fontId="9" fillId="12" borderId="0" xfId="0" applyNumberFormat="1" applyFont="1" applyFill="1" applyAlignment="1">
      <alignment vertical="center" wrapText="1"/>
    </xf>
    <xf numFmtId="0" fontId="9" fillId="12" borderId="0" xfId="0" applyNumberFormat="1" applyFont="1" applyFill="1" applyAlignment="1">
      <alignment vertical="center" wrapText="1"/>
    </xf>
    <xf numFmtId="0" fontId="9" fillId="12" borderId="23" xfId="0" applyNumberFormat="1" applyFont="1" applyFill="1" applyBorder="1" applyAlignment="1">
      <alignment vertical="center" wrapText="1"/>
    </xf>
    <xf numFmtId="0" fontId="10" fillId="5" borderId="22" xfId="1" applyBorder="1" applyAlignment="1">
      <alignment horizontal="center"/>
    </xf>
    <xf numFmtId="0" fontId="1" fillId="6" borderId="9" xfId="2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49" fontId="0" fillId="15" borderId="25" xfId="0" applyNumberFormat="1" applyFill="1" applyBorder="1" applyAlignment="1">
      <alignment vertical="center" wrapText="1"/>
    </xf>
    <xf numFmtId="49" fontId="9" fillId="15" borderId="25" xfId="0" applyNumberFormat="1" applyFont="1" applyFill="1" applyBorder="1" applyAlignment="1">
      <alignment vertical="center" wrapText="1"/>
    </xf>
    <xf numFmtId="49" fontId="9" fillId="15" borderId="0" xfId="0" applyNumberFormat="1" applyFont="1" applyFill="1" applyAlignment="1">
      <alignment vertical="center" wrapText="1"/>
    </xf>
  </cellXfs>
  <cellStyles count="4">
    <cellStyle name="20% - Énfasis1" xfId="2" builtinId="30"/>
    <cellStyle name="Énfasis3" xfId="3" builtinId="37"/>
    <cellStyle name="Neutral" xfId="1" builtinId="28"/>
    <cellStyle name="Normal" xfId="0" builtinId="0"/>
  </cellStyles>
  <dxfs count="21">
    <dxf>
      <font>
        <b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general" vertical="center" wrapText="1"/>
    </dxf>
    <dxf>
      <numFmt numFmtId="30" formatCode="@"/>
      <alignment horizontal="general" vertical="center" wrapText="1"/>
    </dxf>
    <dxf>
      <font>
        <strike val="0"/>
        <outline val="0"/>
        <shadow val="0"/>
        <vertAlign val="baseline"/>
        <sz val="10"/>
        <color theme="0"/>
        <name val="Arial"/>
        <scheme val="minor"/>
      </font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wrapText="1"/>
    </dxf>
    <dxf>
      <numFmt numFmtId="30" formatCode="@"/>
      <alignment horizontal="general" vertical="center" wrapText="1"/>
    </dxf>
    <dxf>
      <font>
        <strike val="0"/>
        <outline val="0"/>
        <shadow val="0"/>
        <vertAlign val="baseline"/>
        <sz val="10"/>
        <color theme="0"/>
        <name val="Arial"/>
        <scheme val="minor"/>
      </font>
      <alignment horizontal="center" vertical="center" textRotation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C9C8D"/>
          <bgColor rgb="FFAC9C8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C9C8D"/>
          <bgColor rgb="FFAC9C8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10C27"/>
          <bgColor rgb="FF610C27"/>
        </patternFill>
      </fill>
    </dxf>
  </dxfs>
  <tableStyles count="3" defaultTableStyle="TableStyleMedium9" defaultPivotStyle="PivotStyleLight16">
    <tableStyle name="INVENTARIO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INVENTARIO-style 2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INVENTARIO-style 3" pivot="0" count="3" xr9:uid="{00000000-0011-0000-FFFF-FFFF02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OS" displayName="PRODUCTOS" ref="B3:H303" headerRowDxfId="11">
  <sortState xmlns:xlrd2="http://schemas.microsoft.com/office/spreadsheetml/2017/richdata2" ref="B4:G289">
    <sortCondition ref="B3"/>
  </sortState>
  <tableColumns count="7">
    <tableColumn id="1" xr3:uid="{00000000-0010-0000-0000-000001000000}" name="CÓDIGO DEL PRODUCTO" dataDxfId="10"/>
    <tableColumn id="2" xr3:uid="{00000000-0010-0000-0000-000002000000}" name="NOMBRE DEL PRODUCTO" dataDxfId="9"/>
    <tableColumn id="6" xr3:uid="{00000000-0010-0000-0000-000006000000}" name="CONTEO INICIAL" dataDxfId="8"/>
    <tableColumn id="3" xr3:uid="{00000000-0010-0000-0000-000003000000}" name="ENTRADAS">
      <calculatedColumnFormula>SUMIF($J$4:$J$5000, B4, $M$4:$M$5000)</calculatedColumnFormula>
    </tableColumn>
    <tableColumn id="4" xr3:uid="{00000000-0010-0000-0000-000004000000}" name="SALIDAS">
      <calculatedColumnFormula>SUMIF($O$4:$O$5000, B4, $R$4:$R$5000)</calculatedColumnFormula>
    </tableColumn>
    <tableColumn id="5" xr3:uid="{00000000-0010-0000-0000-000005000000}" name="STOCK" dataDxfId="7">
      <calculatedColumnFormula>PRODUCTOS[[#This Row],[CONTEO INICIAL]]+E4-F4</calculatedColumnFormula>
    </tableColumn>
    <tableColumn id="7" xr3:uid="{00000000-0010-0000-0000-000007000000}" name="Columna1"/>
  </tableColumns>
  <tableStyleInfo name="INVENTARIO-style 3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RADAS" displayName="ENTRADAS" ref="J3:M287" headerRowDxfId="6" headerRowCellStyle="Énfasis3">
  <tableColumns count="4">
    <tableColumn id="1" xr3:uid="{00000000-0010-0000-0100-000001000000}" name="COD"/>
    <tableColumn id="2" xr3:uid="{00000000-0010-0000-0100-000002000000}" name="PRODUCTO"/>
    <tableColumn id="3" xr3:uid="{00000000-0010-0000-0100-000003000000}" name="FECHA"/>
    <tableColumn id="4" xr3:uid="{00000000-0010-0000-0100-000004000000}" name="CANTIDAD"/>
  </tableColumns>
  <tableStyleInfo name="INVENTARI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IDAS" displayName="SALIDAS" ref="O3:R287" headerRowDxfId="5" headerRowCellStyle="Énfasis3">
  <autoFilter ref="O3:R287" xr:uid="{00000000-0009-0000-0100-000003000000}"/>
  <tableColumns count="4">
    <tableColumn id="1" xr3:uid="{00000000-0010-0000-0200-000001000000}" name="COD"/>
    <tableColumn id="2" xr3:uid="{00000000-0010-0000-0200-000002000000}" name="PRODUCTO"/>
    <tableColumn id="3" xr3:uid="{00000000-0010-0000-0200-000003000000}" name="FECHA"/>
    <tableColumn id="4" xr3:uid="{00000000-0010-0000-0200-000004000000}" name="CANTIDAD"/>
  </tableColumns>
  <tableStyleInfo name="INVENTARI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OS5" displayName="PRODUCTOS5" ref="B3:F287" headerRowDxfId="4">
  <tableColumns count="5">
    <tableColumn id="1" xr3:uid="{00000000-0010-0000-0300-000001000000}" name="CÓDIGO DEL PRODUCTO" dataDxfId="3"/>
    <tableColumn id="2" xr3:uid="{00000000-0010-0000-0300-000002000000}" name="NOMBRE DEL PRODUCTO" dataDxfId="2"/>
    <tableColumn id="3" xr3:uid="{00000000-0010-0000-0300-000003000000}" name="ENTRADAS">
      <calculatedColumnFormula>SUMIF($I$4:$I$5000, B4, $L$4:$L$5000)</calculatedColumnFormula>
    </tableColumn>
    <tableColumn id="4" xr3:uid="{00000000-0010-0000-0300-000004000000}" name="SALIDAS">
      <calculatedColumnFormula>SUMIF($N$4:$N$5000, B4, $Q$4:$Q$5000)</calculatedColumnFormula>
    </tableColumn>
    <tableColumn id="5" xr3:uid="{00000000-0010-0000-0300-000005000000}" name="STOCK">
      <calculatedColumnFormula>D4-E4</calculatedColumnFormula>
    </tableColumn>
  </tableColumns>
  <tableStyleInfo name="INVENTARIO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NTRADAS6" displayName="ENTRADAS6" ref="I3:L287" headerRowDxfId="1">
  <tableColumns count="4">
    <tableColumn id="1" xr3:uid="{00000000-0010-0000-0400-000001000000}" name="COD"/>
    <tableColumn id="2" xr3:uid="{00000000-0010-0000-0400-000002000000}" name="PRODUCTO">
      <calculatedColumnFormula>IF(I4="", "", IFERROR(VLOOKUP(I4&amp;"", $B$4:$C$5000, 2, FALSE), "NO EXISTE"))</calculatedColumnFormula>
    </tableColumn>
    <tableColumn id="3" xr3:uid="{00000000-0010-0000-0400-000003000000}" name="FECHA"/>
    <tableColumn id="4" xr3:uid="{00000000-0010-0000-0400-000004000000}" name="CANTIDAD"/>
  </tableColumns>
  <tableStyleInfo name="INVENTARIO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ALIDAS7" displayName="SALIDAS7" ref="N3:Q287" headerRowDxfId="0">
  <autoFilter ref="N3:Q287" xr:uid="{00000000-0009-0000-0100-000006000000}"/>
  <tableColumns count="4">
    <tableColumn id="1" xr3:uid="{00000000-0010-0000-0500-000001000000}" name="COD"/>
    <tableColumn id="2" xr3:uid="{00000000-0010-0000-0500-000002000000}" name="PRODUCTO">
      <calculatedColumnFormula>IF(N4="", "", IFERROR(VLOOKUP(N4&amp;"", $B$4:$C$5000, 2, FALSE), "NO EXISTE"))</calculatedColumnFormula>
    </tableColumn>
    <tableColumn id="3" xr3:uid="{00000000-0010-0000-0500-000003000000}" name="FECHA"/>
    <tableColumn id="4" xr3:uid="{00000000-0010-0000-0500-000004000000}" name="CANTIDAD"/>
  </tableColumns>
  <tableStyleInfo name="INVENTARIO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00"/>
  <sheetViews>
    <sheetView showGridLines="0" tabSelected="1" topLeftCell="B218" workbookViewId="0">
      <selection activeCell="C220" sqref="C220"/>
    </sheetView>
  </sheetViews>
  <sheetFormatPr baseColWidth="10" defaultColWidth="12.7109375" defaultRowHeight="15.75" customHeight="1" x14ac:dyDescent="0.2"/>
  <cols>
    <col min="1" max="1" width="3.140625" customWidth="1"/>
    <col min="2" max="2" width="13.28515625" customWidth="1"/>
    <col min="3" max="3" width="71.85546875" customWidth="1"/>
    <col min="4" max="4" width="8.42578125" bestFit="1" customWidth="1"/>
    <col min="7" max="7" width="12.7109375" customWidth="1"/>
    <col min="8" max="8" width="11.140625" bestFit="1" customWidth="1"/>
    <col min="9" max="9" width="2" customWidth="1"/>
    <col min="10" max="10" width="16.140625" customWidth="1"/>
    <col min="11" max="11" width="26.42578125" customWidth="1"/>
    <col min="13" max="13" width="12.140625" customWidth="1"/>
    <col min="14" max="14" width="9.42578125" customWidth="1"/>
    <col min="15" max="15" width="13.85546875" customWidth="1"/>
    <col min="16" max="16" width="25.5703125" customWidth="1"/>
  </cols>
  <sheetData>
    <row r="1" spans="1:27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1"/>
      <c r="B2" s="100" t="s">
        <v>0</v>
      </c>
      <c r="C2" s="100"/>
      <c r="D2" s="100"/>
      <c r="E2" s="100"/>
      <c r="F2" s="100"/>
      <c r="G2" s="100"/>
      <c r="H2" s="1"/>
      <c r="J2" s="99" t="s">
        <v>1</v>
      </c>
      <c r="K2" s="99"/>
      <c r="L2" s="99"/>
      <c r="M2" s="99"/>
      <c r="O2" s="99" t="s">
        <v>2</v>
      </c>
      <c r="P2" s="99"/>
      <c r="Q2" s="99"/>
      <c r="R2" s="99"/>
      <c r="T2" s="57" t="s">
        <v>574</v>
      </c>
      <c r="U2" s="57" t="s">
        <v>573</v>
      </c>
    </row>
    <row r="3" spans="1:27" ht="46.5" customHeight="1" x14ac:dyDescent="0.2">
      <c r="A3" s="1"/>
      <c r="B3" s="23" t="s">
        <v>3</v>
      </c>
      <c r="C3" s="23" t="s">
        <v>4</v>
      </c>
      <c r="D3" s="23" t="s">
        <v>568</v>
      </c>
      <c r="E3" s="33" t="s">
        <v>1</v>
      </c>
      <c r="F3" s="33" t="s">
        <v>2</v>
      </c>
      <c r="G3" s="33" t="s">
        <v>5</v>
      </c>
      <c r="H3" s="64" t="s">
        <v>578</v>
      </c>
      <c r="I3" s="1"/>
      <c r="J3" s="34" t="s">
        <v>6</v>
      </c>
      <c r="K3" s="35" t="s">
        <v>7</v>
      </c>
      <c r="L3" s="35" t="s">
        <v>8</v>
      </c>
      <c r="M3" s="36" t="s">
        <v>9</v>
      </c>
      <c r="N3" s="32"/>
      <c r="O3" s="34" t="s">
        <v>6</v>
      </c>
      <c r="P3" s="35" t="s">
        <v>7</v>
      </c>
      <c r="Q3" s="35" t="s">
        <v>8</v>
      </c>
      <c r="R3" s="36" t="s">
        <v>9</v>
      </c>
      <c r="S3" s="1"/>
      <c r="T3" s="51" t="s">
        <v>570</v>
      </c>
      <c r="U3" s="52"/>
    </row>
    <row r="4" spans="1:27" ht="15.75" customHeight="1" x14ac:dyDescent="0.2">
      <c r="A4" s="1"/>
      <c r="B4" s="26" t="s">
        <v>10</v>
      </c>
      <c r="C4" s="24" t="s">
        <v>11</v>
      </c>
      <c r="D4" s="39">
        <v>0</v>
      </c>
      <c r="E4" s="38">
        <f t="shared" ref="E4:E68" si="0">SUMIF($J$4:$J$5000, B4, $M$4:$M$5000)</f>
        <v>0</v>
      </c>
      <c r="F4" s="38">
        <f t="shared" ref="F4:F68" si="1">SUMIF($O$4:$O$5000, B4, $R$4:$R$5000)</f>
        <v>0</v>
      </c>
      <c r="G4" s="37">
        <f>PRODUCTOS[[#This Row],[CONTEO INICIAL]]+E4-F4</f>
        <v>0</v>
      </c>
      <c r="H4" s="5"/>
      <c r="I4" s="1"/>
      <c r="J4" s="6" t="s">
        <v>152</v>
      </c>
      <c r="K4" s="19" t="str">
        <f t="shared" ref="K4:K67" si="2">IF(J4="", "", IFERROR(VLOOKUP(J4&amp;"", $B$4:$C$5005, 2, FALSE), "NO EXISTE"))</f>
        <v>Base chupon T5</v>
      </c>
      <c r="L4" s="7">
        <v>46265</v>
      </c>
      <c r="M4" s="14">
        <v>250</v>
      </c>
      <c r="N4" s="1"/>
      <c r="O4" s="9" t="s">
        <v>436</v>
      </c>
      <c r="P4" s="19" t="str">
        <f>IF(O4="", "", IFERROR(VLOOKUP(O4&amp;"", $B$4:$C$5005, 2, FALSE), "NO EXISTE"))</f>
        <v>PLACA DUPLEX ABS BLANCO</v>
      </c>
      <c r="Q4" s="7">
        <v>46265</v>
      </c>
      <c r="R4" s="11">
        <v>210</v>
      </c>
      <c r="S4" s="1"/>
      <c r="T4" s="51" t="s">
        <v>571</v>
      </c>
      <c r="U4" s="78"/>
    </row>
    <row r="5" spans="1:27" ht="15.75" customHeight="1" x14ac:dyDescent="0.2">
      <c r="A5" s="1"/>
      <c r="B5" s="27" t="s">
        <v>14</v>
      </c>
      <c r="C5" s="25" t="s">
        <v>15</v>
      </c>
      <c r="D5" s="40">
        <v>0</v>
      </c>
      <c r="E5" s="38">
        <f t="shared" si="0"/>
        <v>0</v>
      </c>
      <c r="F5" s="38">
        <f t="shared" si="1"/>
        <v>0</v>
      </c>
      <c r="G5" s="37">
        <f>PRODUCTOS[[#This Row],[CONTEO INICIAL]]+E5-F5</f>
        <v>0</v>
      </c>
      <c r="H5" s="5"/>
      <c r="I5" s="1"/>
      <c r="J5" s="9" t="s">
        <v>160</v>
      </c>
      <c r="K5" s="19" t="str">
        <f t="shared" si="2"/>
        <v>Clip T5 atornillable</v>
      </c>
      <c r="L5" s="7">
        <v>46265</v>
      </c>
      <c r="M5" s="11">
        <v>250</v>
      </c>
      <c r="N5" s="1"/>
      <c r="O5" s="6" t="s">
        <v>474</v>
      </c>
      <c r="P5" s="19" t="str">
        <f>IF(O5="", "", IFERROR(VLOOKUP(O5&amp;"", $B$4:$C$5005, 2, FALSE), "NO EXISTE"))</f>
        <v>Socket con rosca Cafe</v>
      </c>
      <c r="Q5" s="7">
        <v>46265</v>
      </c>
      <c r="R5" s="14">
        <v>125</v>
      </c>
      <c r="S5" s="1"/>
      <c r="T5" s="51" t="s">
        <v>572</v>
      </c>
      <c r="U5" s="53"/>
    </row>
    <row r="6" spans="1:27" ht="15.75" customHeight="1" x14ac:dyDescent="0.2">
      <c r="A6" s="1"/>
      <c r="B6" s="27" t="s">
        <v>16</v>
      </c>
      <c r="C6" s="25" t="s">
        <v>17</v>
      </c>
      <c r="D6" s="41"/>
      <c r="E6" s="38">
        <f t="shared" si="0"/>
        <v>0</v>
      </c>
      <c r="F6" s="38">
        <f t="shared" si="1"/>
        <v>0</v>
      </c>
      <c r="G6" s="37">
        <f>PRODUCTOS[[#This Row],[CONTEO INICIAL]]+E6-F6</f>
        <v>0</v>
      </c>
      <c r="H6" s="5"/>
      <c r="I6" s="1"/>
      <c r="J6" s="6"/>
      <c r="K6" s="19" t="str">
        <f t="shared" si="2"/>
        <v/>
      </c>
      <c r="L6" s="7"/>
      <c r="M6" s="14"/>
      <c r="N6" s="1"/>
      <c r="O6" s="9" t="s">
        <v>206</v>
      </c>
      <c r="P6" s="19" t="str">
        <f>IF(O6="", "", IFERROR(VLOOKUP(O6&amp;"", $B$4:$C$5005, 2, FALSE), "NO EXISTE"))</f>
        <v>Timbre Alambrico</v>
      </c>
      <c r="Q6" s="7">
        <v>46265</v>
      </c>
      <c r="R6" s="11">
        <v>28</v>
      </c>
      <c r="S6" s="1"/>
      <c r="T6" s="54" t="s">
        <v>577</v>
      </c>
      <c r="U6" s="55"/>
    </row>
    <row r="7" spans="1:27" ht="15.75" customHeight="1" x14ac:dyDescent="0.2">
      <c r="A7" s="1"/>
      <c r="B7" s="27" t="s">
        <v>18</v>
      </c>
      <c r="C7" s="25" t="s">
        <v>19</v>
      </c>
      <c r="D7" s="41"/>
      <c r="E7" s="38">
        <f t="shared" si="0"/>
        <v>0</v>
      </c>
      <c r="F7" s="38">
        <f t="shared" si="1"/>
        <v>0</v>
      </c>
      <c r="G7" s="37">
        <f>PRODUCTOS[[#This Row],[CONTEO INICIAL]]+E7-F7</f>
        <v>0</v>
      </c>
      <c r="H7" s="5"/>
      <c r="I7" s="1"/>
      <c r="J7" s="9"/>
      <c r="K7" s="19" t="str">
        <f t="shared" si="2"/>
        <v/>
      </c>
      <c r="L7" s="10"/>
      <c r="M7" s="11"/>
      <c r="N7" s="1"/>
      <c r="O7" s="6" t="s">
        <v>494</v>
      </c>
      <c r="P7" s="19" t="str">
        <f>IF(O7="", "", IFERROR(VLOOKUP(O7&amp;"", $B$4:$C$5005, 2, FALSE), "NO EXISTE"))</f>
        <v>Socket Convertidor de E-40 A E-26</v>
      </c>
      <c r="Q7" s="7">
        <v>46265</v>
      </c>
      <c r="R7" s="14">
        <v>20</v>
      </c>
      <c r="S7" s="1"/>
      <c r="T7" s="56"/>
      <c r="U7" s="56"/>
    </row>
    <row r="8" spans="1:27" ht="15.75" customHeight="1" x14ac:dyDescent="0.2">
      <c r="A8" s="1"/>
      <c r="B8" s="27" t="s">
        <v>20</v>
      </c>
      <c r="C8" s="25" t="s">
        <v>21</v>
      </c>
      <c r="D8" s="41"/>
      <c r="E8" s="38">
        <f t="shared" si="0"/>
        <v>0</v>
      </c>
      <c r="F8" s="38">
        <f t="shared" si="1"/>
        <v>0</v>
      </c>
      <c r="G8" s="37">
        <f>PRODUCTOS[[#This Row],[CONTEO INICIAL]]+E8-F8</f>
        <v>0</v>
      </c>
      <c r="H8" s="1"/>
      <c r="I8" s="1"/>
      <c r="J8" s="6"/>
      <c r="K8" s="19" t="str">
        <f t="shared" si="2"/>
        <v/>
      </c>
      <c r="L8" s="7"/>
      <c r="M8" s="14"/>
      <c r="N8" s="1"/>
      <c r="O8" s="9" t="s">
        <v>408</v>
      </c>
      <c r="P8" s="19" t="str">
        <f>IF(O8="", "", IFERROR(VLOOKUP(O8&amp;"", $B$4:$C$5005, 2, FALSE), "NO EXISTE"))</f>
        <v>Apagador de Paso SI-NO - Negro</v>
      </c>
      <c r="Q8" s="7">
        <v>46265</v>
      </c>
      <c r="R8" s="11">
        <v>20</v>
      </c>
      <c r="S8" s="1"/>
    </row>
    <row r="9" spans="1:27" ht="15.75" customHeight="1" x14ac:dyDescent="0.2">
      <c r="A9" s="1"/>
      <c r="B9" s="27" t="s">
        <v>22</v>
      </c>
      <c r="C9" s="25" t="s">
        <v>23</v>
      </c>
      <c r="D9" s="41"/>
      <c r="E9" s="38">
        <f t="shared" si="0"/>
        <v>0</v>
      </c>
      <c r="F9" s="38">
        <f t="shared" si="1"/>
        <v>0</v>
      </c>
      <c r="G9" s="37">
        <f>PRODUCTOS[[#This Row],[CONTEO INICIAL]]+E9-F9</f>
        <v>0</v>
      </c>
      <c r="H9" s="1"/>
      <c r="I9" s="1"/>
      <c r="J9" s="9"/>
      <c r="K9" s="19" t="str">
        <f t="shared" si="2"/>
        <v/>
      </c>
      <c r="L9" s="10"/>
      <c r="M9" s="11"/>
      <c r="N9" s="1"/>
      <c r="O9" s="6"/>
      <c r="R9" s="14"/>
      <c r="S9" s="1"/>
    </row>
    <row r="10" spans="1:27" ht="15.75" customHeight="1" x14ac:dyDescent="0.2">
      <c r="A10" s="1"/>
      <c r="B10" s="27" t="s">
        <v>24</v>
      </c>
      <c r="C10" s="25" t="s">
        <v>25</v>
      </c>
      <c r="D10" s="41"/>
      <c r="E10" s="38">
        <f t="shared" si="0"/>
        <v>0</v>
      </c>
      <c r="F10" s="38">
        <f t="shared" si="1"/>
        <v>0</v>
      </c>
      <c r="G10" s="37">
        <f>PRODUCTOS[[#This Row],[CONTEO INICIAL]]+E10-F10</f>
        <v>0</v>
      </c>
      <c r="H10" s="1"/>
      <c r="I10" s="1"/>
      <c r="J10" s="6"/>
      <c r="K10" s="19" t="str">
        <f t="shared" si="2"/>
        <v/>
      </c>
      <c r="L10" s="7"/>
      <c r="M10" s="14"/>
      <c r="N10" s="1"/>
      <c r="O10" s="6"/>
      <c r="P10" s="19" t="str">
        <f t="shared" ref="P10:P73" si="3">IF(O10="", "", IFERROR(VLOOKUP(O10&amp;"", $B$4:$C$5005, 2, FALSE), "NO EXISTE"))</f>
        <v/>
      </c>
      <c r="Q10" s="7"/>
      <c r="R10" s="14"/>
      <c r="S10" s="1"/>
    </row>
    <row r="11" spans="1:27" ht="15.75" customHeight="1" x14ac:dyDescent="0.2">
      <c r="A11" s="1"/>
      <c r="B11" s="27" t="s">
        <v>26</v>
      </c>
      <c r="C11" s="25" t="s">
        <v>27</v>
      </c>
      <c r="D11" s="41"/>
      <c r="E11" s="38">
        <f t="shared" si="0"/>
        <v>0</v>
      </c>
      <c r="F11" s="38">
        <f t="shared" si="1"/>
        <v>0</v>
      </c>
      <c r="G11" s="37">
        <f>PRODUCTOS[[#This Row],[CONTEO INICIAL]]+E11-F11</f>
        <v>0</v>
      </c>
      <c r="H11" s="1"/>
      <c r="I11" s="1"/>
      <c r="J11" s="9"/>
      <c r="K11" s="19" t="str">
        <f t="shared" si="2"/>
        <v/>
      </c>
      <c r="L11" s="10"/>
      <c r="M11" s="11"/>
      <c r="N11" s="1"/>
      <c r="O11" s="9"/>
      <c r="P11" s="19" t="str">
        <f t="shared" si="3"/>
        <v/>
      </c>
      <c r="Q11" s="10"/>
      <c r="R11" s="11"/>
      <c r="S11" s="1"/>
    </row>
    <row r="12" spans="1:27" ht="15.75" customHeight="1" x14ac:dyDescent="0.2">
      <c r="A12" s="1"/>
      <c r="B12" s="27" t="s">
        <v>28</v>
      </c>
      <c r="C12" s="25" t="s">
        <v>29</v>
      </c>
      <c r="D12" s="41"/>
      <c r="E12" s="38">
        <f t="shared" si="0"/>
        <v>0</v>
      </c>
      <c r="F12" s="38">
        <f t="shared" si="1"/>
        <v>0</v>
      </c>
      <c r="G12" s="37">
        <f>PRODUCTOS[[#This Row],[CONTEO INICIAL]]+E12-F12</f>
        <v>0</v>
      </c>
      <c r="H12" s="1"/>
      <c r="I12" s="1"/>
      <c r="J12" s="6"/>
      <c r="K12" s="19" t="str">
        <f t="shared" si="2"/>
        <v/>
      </c>
      <c r="L12" s="7"/>
      <c r="M12" s="14"/>
      <c r="N12" s="1"/>
      <c r="O12" s="6"/>
      <c r="P12" s="19" t="str">
        <f t="shared" si="3"/>
        <v/>
      </c>
      <c r="Q12" s="7"/>
      <c r="R12" s="14"/>
      <c r="S12" s="1"/>
    </row>
    <row r="13" spans="1:27" ht="15.75" customHeight="1" x14ac:dyDescent="0.2">
      <c r="A13" s="1"/>
      <c r="B13" s="79" t="s">
        <v>608</v>
      </c>
      <c r="C13" s="80"/>
      <c r="D13" s="80" t="s">
        <v>609</v>
      </c>
      <c r="E13" s="82">
        <f>SUMIF($J$4:$J$5000, B13, $M$4:$M$5000)</f>
        <v>0</v>
      </c>
      <c r="F13" s="82">
        <f>SUMIF($O$4:$O$5000, B13, $R$4:$R$5000)</f>
        <v>0</v>
      </c>
      <c r="G13" s="83">
        <f>PRODUCTOS[[#This Row],[CONTEO INICIAL]]+E13-F13</f>
        <v>75</v>
      </c>
      <c r="H13" s="1"/>
      <c r="I13" s="1"/>
      <c r="J13" s="9"/>
      <c r="K13" s="19" t="str">
        <f t="shared" si="2"/>
        <v/>
      </c>
      <c r="L13" s="10"/>
      <c r="M13" s="11"/>
      <c r="N13" s="1"/>
      <c r="O13" s="9"/>
      <c r="P13" s="19" t="str">
        <f t="shared" si="3"/>
        <v/>
      </c>
      <c r="Q13" s="10"/>
      <c r="R13" s="11"/>
      <c r="S13" s="1"/>
    </row>
    <row r="14" spans="1:27" ht="15.75" customHeight="1" x14ac:dyDescent="0.2">
      <c r="A14" s="1"/>
      <c r="B14" s="79" t="s">
        <v>30</v>
      </c>
      <c r="C14" s="80" t="s">
        <v>31</v>
      </c>
      <c r="D14" s="81">
        <v>20</v>
      </c>
      <c r="E14" s="82">
        <f t="shared" si="0"/>
        <v>0</v>
      </c>
      <c r="F14" s="82">
        <f t="shared" si="1"/>
        <v>0</v>
      </c>
      <c r="G14" s="83">
        <f>PRODUCTOS[[#This Row],[CONTEO INICIAL]]+E14-F14</f>
        <v>20</v>
      </c>
      <c r="H14" s="1"/>
      <c r="I14" s="1"/>
      <c r="J14" s="6"/>
      <c r="K14" s="19" t="str">
        <f t="shared" si="2"/>
        <v/>
      </c>
      <c r="L14" s="7"/>
      <c r="M14" s="14"/>
      <c r="N14" s="1"/>
      <c r="O14" s="6"/>
      <c r="P14" s="19" t="str">
        <f t="shared" si="3"/>
        <v/>
      </c>
      <c r="Q14" s="7"/>
      <c r="R14" s="14"/>
      <c r="S14" s="1"/>
    </row>
    <row r="15" spans="1:27" ht="15.75" customHeight="1" x14ac:dyDescent="0.2">
      <c r="A15" s="1"/>
      <c r="B15" s="27" t="s">
        <v>32</v>
      </c>
      <c r="C15" s="25" t="s">
        <v>33</v>
      </c>
      <c r="D15" s="41"/>
      <c r="E15" s="38">
        <f t="shared" si="0"/>
        <v>0</v>
      </c>
      <c r="F15" s="38">
        <f t="shared" si="1"/>
        <v>0</v>
      </c>
      <c r="G15" s="37">
        <f>PRODUCTOS[[#This Row],[CONTEO INICIAL]]+E15-F15</f>
        <v>0</v>
      </c>
      <c r="H15" s="1"/>
      <c r="I15" s="1"/>
      <c r="J15" s="9"/>
      <c r="K15" s="19" t="str">
        <f t="shared" si="2"/>
        <v/>
      </c>
      <c r="L15" s="10"/>
      <c r="M15" s="11"/>
      <c r="N15" s="1"/>
      <c r="O15" s="9"/>
      <c r="P15" s="19" t="str">
        <f t="shared" si="3"/>
        <v/>
      </c>
      <c r="Q15" s="10"/>
      <c r="R15" s="11"/>
      <c r="S15" s="1"/>
    </row>
    <row r="16" spans="1:27" ht="15.75" customHeight="1" x14ac:dyDescent="0.2">
      <c r="A16" s="1"/>
      <c r="B16" s="27" t="s">
        <v>34</v>
      </c>
      <c r="C16" s="25" t="s">
        <v>35</v>
      </c>
      <c r="D16" s="41"/>
      <c r="E16" s="38">
        <f t="shared" si="0"/>
        <v>0</v>
      </c>
      <c r="F16" s="38">
        <f t="shared" si="1"/>
        <v>0</v>
      </c>
      <c r="G16" s="37">
        <f>PRODUCTOS[[#This Row],[CONTEO INICIAL]]+E16-F16</f>
        <v>0</v>
      </c>
      <c r="H16" s="1"/>
      <c r="I16" s="1"/>
      <c r="J16" s="6"/>
      <c r="K16" s="19" t="str">
        <f t="shared" si="2"/>
        <v/>
      </c>
      <c r="L16" s="7"/>
      <c r="M16" s="14"/>
      <c r="N16" s="1"/>
      <c r="O16" s="6"/>
      <c r="P16" s="19" t="str">
        <f t="shared" si="3"/>
        <v/>
      </c>
      <c r="Q16" s="7"/>
      <c r="R16" s="14"/>
      <c r="S16" s="1"/>
    </row>
    <row r="17" spans="2:18" ht="15.75" customHeight="1" x14ac:dyDescent="0.2">
      <c r="B17" s="27" t="s">
        <v>36</v>
      </c>
      <c r="C17" s="25" t="s">
        <v>37</v>
      </c>
      <c r="D17" s="41"/>
      <c r="E17" s="38">
        <f t="shared" si="0"/>
        <v>0</v>
      </c>
      <c r="F17" s="38">
        <f t="shared" si="1"/>
        <v>0</v>
      </c>
      <c r="G17" s="37">
        <f>PRODUCTOS[[#This Row],[CONTEO INICIAL]]+E17-F17</f>
        <v>0</v>
      </c>
      <c r="H17" s="1"/>
      <c r="J17" s="9"/>
      <c r="K17" s="19" t="str">
        <f t="shared" si="2"/>
        <v/>
      </c>
      <c r="L17" s="10"/>
      <c r="M17" s="11"/>
      <c r="O17" s="9"/>
      <c r="P17" s="19" t="str">
        <f t="shared" si="3"/>
        <v/>
      </c>
      <c r="Q17" s="10"/>
      <c r="R17" s="11"/>
    </row>
    <row r="18" spans="2:18" ht="15.75" customHeight="1" x14ac:dyDescent="0.2">
      <c r="B18" s="27" t="s">
        <v>38</v>
      </c>
      <c r="C18" s="25" t="s">
        <v>39</v>
      </c>
      <c r="D18" s="41"/>
      <c r="E18" s="38">
        <f t="shared" si="0"/>
        <v>0</v>
      </c>
      <c r="F18" s="38">
        <f t="shared" si="1"/>
        <v>0</v>
      </c>
      <c r="G18" s="37">
        <f>PRODUCTOS[[#This Row],[CONTEO INICIAL]]+E18-F18</f>
        <v>0</v>
      </c>
      <c r="J18" s="6"/>
      <c r="K18" s="19" t="str">
        <f t="shared" si="2"/>
        <v/>
      </c>
      <c r="L18" s="7"/>
      <c r="M18" s="14"/>
      <c r="O18" s="6"/>
      <c r="P18" s="19" t="str">
        <f t="shared" si="3"/>
        <v/>
      </c>
      <c r="Q18" s="7"/>
      <c r="R18" s="14"/>
    </row>
    <row r="19" spans="2:18" ht="15.75" customHeight="1" x14ac:dyDescent="0.2">
      <c r="B19" s="27" t="s">
        <v>40</v>
      </c>
      <c r="C19" s="25" t="s">
        <v>41</v>
      </c>
      <c r="D19" s="41"/>
      <c r="E19" s="38">
        <f t="shared" si="0"/>
        <v>0</v>
      </c>
      <c r="F19" s="38">
        <f t="shared" si="1"/>
        <v>0</v>
      </c>
      <c r="G19" s="37">
        <f>PRODUCTOS[[#This Row],[CONTEO INICIAL]]+E19-F19</f>
        <v>0</v>
      </c>
      <c r="J19" s="9"/>
      <c r="K19" s="19" t="str">
        <f t="shared" si="2"/>
        <v/>
      </c>
      <c r="L19" s="10"/>
      <c r="M19" s="11"/>
      <c r="O19" s="9"/>
      <c r="P19" s="19" t="str">
        <f t="shared" si="3"/>
        <v/>
      </c>
      <c r="Q19" s="10"/>
      <c r="R19" s="11"/>
    </row>
    <row r="20" spans="2:18" ht="15.75" customHeight="1" x14ac:dyDescent="0.2">
      <c r="B20" s="73" t="s">
        <v>42</v>
      </c>
      <c r="C20" s="74" t="s">
        <v>43</v>
      </c>
      <c r="D20" s="75">
        <v>4</v>
      </c>
      <c r="E20" s="76">
        <f t="shared" si="0"/>
        <v>0</v>
      </c>
      <c r="F20" s="76">
        <f t="shared" si="1"/>
        <v>0</v>
      </c>
      <c r="G20" s="77">
        <f>PRODUCTOS[[#This Row],[CONTEO INICIAL]]+E20-F20</f>
        <v>4</v>
      </c>
      <c r="J20" s="6"/>
      <c r="K20" s="19" t="str">
        <f t="shared" si="2"/>
        <v/>
      </c>
      <c r="L20" s="7"/>
      <c r="M20" s="14"/>
      <c r="O20" s="6"/>
      <c r="P20" s="19" t="str">
        <f t="shared" si="3"/>
        <v/>
      </c>
      <c r="Q20" s="7"/>
      <c r="R20" s="14"/>
    </row>
    <row r="21" spans="2:18" ht="15.75" customHeight="1" x14ac:dyDescent="0.2">
      <c r="B21" s="27" t="s">
        <v>44</v>
      </c>
      <c r="C21" s="25" t="s">
        <v>45</v>
      </c>
      <c r="D21" s="41"/>
      <c r="E21" s="38">
        <f t="shared" si="0"/>
        <v>0</v>
      </c>
      <c r="F21" s="38">
        <f t="shared" si="1"/>
        <v>0</v>
      </c>
      <c r="G21" s="37">
        <f>PRODUCTOS[[#This Row],[CONTEO INICIAL]]+E21-F21</f>
        <v>0</v>
      </c>
      <c r="J21" s="9"/>
      <c r="K21" s="19" t="str">
        <f t="shared" si="2"/>
        <v/>
      </c>
      <c r="L21" s="10"/>
      <c r="M21" s="11"/>
      <c r="O21" s="9"/>
      <c r="P21" s="19" t="str">
        <f t="shared" si="3"/>
        <v/>
      </c>
      <c r="Q21" s="10"/>
      <c r="R21" s="11"/>
    </row>
    <row r="22" spans="2:18" ht="15.75" customHeight="1" x14ac:dyDescent="0.2">
      <c r="B22" s="27" t="s">
        <v>46</v>
      </c>
      <c r="C22" s="25" t="s">
        <v>47</v>
      </c>
      <c r="D22" s="41"/>
      <c r="E22" s="38">
        <f t="shared" si="0"/>
        <v>0</v>
      </c>
      <c r="F22" s="38">
        <f t="shared" si="1"/>
        <v>0</v>
      </c>
      <c r="G22" s="37">
        <f>PRODUCTOS[[#This Row],[CONTEO INICIAL]]+E22-F22</f>
        <v>0</v>
      </c>
      <c r="J22" s="6"/>
      <c r="K22" s="19" t="str">
        <f t="shared" si="2"/>
        <v/>
      </c>
      <c r="L22" s="7"/>
      <c r="M22" s="14"/>
      <c r="O22" s="6"/>
      <c r="P22" s="19" t="str">
        <f t="shared" si="3"/>
        <v/>
      </c>
      <c r="Q22" s="7"/>
      <c r="R22" s="14"/>
    </row>
    <row r="23" spans="2:18" ht="15.75" customHeight="1" x14ac:dyDescent="0.2">
      <c r="B23" s="27" t="s">
        <v>48</v>
      </c>
      <c r="C23" s="25" t="s">
        <v>49</v>
      </c>
      <c r="D23" s="41"/>
      <c r="E23" s="38">
        <f t="shared" si="0"/>
        <v>0</v>
      </c>
      <c r="F23" s="38">
        <f t="shared" si="1"/>
        <v>0</v>
      </c>
      <c r="G23" s="37">
        <f>PRODUCTOS[[#This Row],[CONTEO INICIAL]]+E23-F23</f>
        <v>0</v>
      </c>
      <c r="J23" s="9"/>
      <c r="K23" s="19" t="str">
        <f t="shared" si="2"/>
        <v/>
      </c>
      <c r="L23" s="10"/>
      <c r="M23" s="11"/>
      <c r="O23" s="9"/>
      <c r="P23" s="19" t="str">
        <f t="shared" si="3"/>
        <v/>
      </c>
      <c r="Q23" s="10"/>
      <c r="R23" s="11"/>
    </row>
    <row r="24" spans="2:18" ht="15.75" customHeight="1" x14ac:dyDescent="0.2">
      <c r="B24" s="27" t="s">
        <v>50</v>
      </c>
      <c r="C24" s="25" t="s">
        <v>51</v>
      </c>
      <c r="D24" s="41"/>
      <c r="E24" s="38">
        <f t="shared" si="0"/>
        <v>0</v>
      </c>
      <c r="F24" s="38">
        <f t="shared" si="1"/>
        <v>0</v>
      </c>
      <c r="G24" s="37">
        <f>PRODUCTOS[[#This Row],[CONTEO INICIAL]]+E24-F24</f>
        <v>0</v>
      </c>
      <c r="J24" s="6"/>
      <c r="K24" s="19" t="str">
        <f t="shared" si="2"/>
        <v/>
      </c>
      <c r="L24" s="7"/>
      <c r="M24" s="14"/>
      <c r="O24" s="6"/>
      <c r="P24" s="19" t="str">
        <f t="shared" si="3"/>
        <v/>
      </c>
      <c r="Q24" s="7"/>
      <c r="R24" s="14"/>
    </row>
    <row r="25" spans="2:18" ht="15.75" customHeight="1" x14ac:dyDescent="0.2">
      <c r="B25" s="27" t="s">
        <v>52</v>
      </c>
      <c r="C25" s="25" t="s">
        <v>53</v>
      </c>
      <c r="D25" s="41"/>
      <c r="E25" s="38">
        <f t="shared" si="0"/>
        <v>0</v>
      </c>
      <c r="F25" s="38">
        <f t="shared" si="1"/>
        <v>0</v>
      </c>
      <c r="G25" s="37">
        <f>PRODUCTOS[[#This Row],[CONTEO INICIAL]]+E25-F25</f>
        <v>0</v>
      </c>
      <c r="J25" s="9"/>
      <c r="K25" s="19" t="str">
        <f t="shared" si="2"/>
        <v/>
      </c>
      <c r="L25" s="10"/>
      <c r="M25" s="11"/>
      <c r="O25" s="9"/>
      <c r="P25" s="19" t="str">
        <f t="shared" si="3"/>
        <v/>
      </c>
      <c r="Q25" s="10"/>
      <c r="R25" s="11"/>
    </row>
    <row r="26" spans="2:18" ht="15.75" customHeight="1" x14ac:dyDescent="0.2">
      <c r="B26" s="27" t="s">
        <v>54</v>
      </c>
      <c r="C26" s="25" t="s">
        <v>55</v>
      </c>
      <c r="D26" s="41"/>
      <c r="E26" s="38">
        <f t="shared" si="0"/>
        <v>0</v>
      </c>
      <c r="F26" s="38">
        <f t="shared" si="1"/>
        <v>0</v>
      </c>
      <c r="G26" s="37">
        <f>PRODUCTOS[[#This Row],[CONTEO INICIAL]]+E26-F26</f>
        <v>0</v>
      </c>
      <c r="J26" s="6"/>
      <c r="K26" s="19" t="str">
        <f t="shared" si="2"/>
        <v/>
      </c>
      <c r="L26" s="7"/>
      <c r="M26" s="14"/>
      <c r="O26" s="6"/>
      <c r="P26" s="19" t="str">
        <f t="shared" si="3"/>
        <v/>
      </c>
      <c r="Q26" s="7"/>
      <c r="R26" s="14"/>
    </row>
    <row r="27" spans="2:18" ht="15.75" customHeight="1" x14ac:dyDescent="0.2">
      <c r="B27" s="27" t="s">
        <v>56</v>
      </c>
      <c r="C27" s="25" t="s">
        <v>57</v>
      </c>
      <c r="D27" s="41"/>
      <c r="E27" s="38">
        <f t="shared" si="0"/>
        <v>0</v>
      </c>
      <c r="F27" s="38">
        <f t="shared" si="1"/>
        <v>0</v>
      </c>
      <c r="G27" s="37">
        <f>PRODUCTOS[[#This Row],[CONTEO INICIAL]]+E27-F27</f>
        <v>0</v>
      </c>
      <c r="J27" s="9"/>
      <c r="K27" s="19" t="str">
        <f t="shared" si="2"/>
        <v/>
      </c>
      <c r="L27" s="10"/>
      <c r="M27" s="11"/>
      <c r="O27" s="9"/>
      <c r="P27" s="19" t="str">
        <f t="shared" si="3"/>
        <v/>
      </c>
      <c r="Q27" s="10"/>
      <c r="R27" s="11"/>
    </row>
    <row r="28" spans="2:18" ht="15.75" customHeight="1" x14ac:dyDescent="0.2">
      <c r="B28" s="27" t="s">
        <v>58</v>
      </c>
      <c r="C28" s="25" t="s">
        <v>59</v>
      </c>
      <c r="D28" s="41"/>
      <c r="E28" s="38">
        <f t="shared" si="0"/>
        <v>0</v>
      </c>
      <c r="F28" s="38">
        <f t="shared" si="1"/>
        <v>0</v>
      </c>
      <c r="G28" s="37">
        <f>PRODUCTOS[[#This Row],[CONTEO INICIAL]]+E28-F28</f>
        <v>0</v>
      </c>
      <c r="J28" s="6"/>
      <c r="K28" s="19" t="str">
        <f t="shared" si="2"/>
        <v/>
      </c>
      <c r="L28" s="7"/>
      <c r="M28" s="14"/>
      <c r="O28" s="6"/>
      <c r="P28" s="19" t="str">
        <f t="shared" si="3"/>
        <v/>
      </c>
      <c r="Q28" s="7"/>
      <c r="R28" s="14"/>
    </row>
    <row r="29" spans="2:18" ht="15.75" customHeight="1" x14ac:dyDescent="0.2">
      <c r="B29" s="27" t="s">
        <v>60</v>
      </c>
      <c r="C29" s="25" t="s">
        <v>61</v>
      </c>
      <c r="D29" s="41"/>
      <c r="E29" s="38">
        <f t="shared" si="0"/>
        <v>0</v>
      </c>
      <c r="F29" s="38">
        <f t="shared" si="1"/>
        <v>0</v>
      </c>
      <c r="G29" s="37">
        <f>PRODUCTOS[[#This Row],[CONTEO INICIAL]]+E29-F29</f>
        <v>0</v>
      </c>
      <c r="J29" s="9"/>
      <c r="K29" s="19" t="str">
        <f t="shared" si="2"/>
        <v/>
      </c>
      <c r="L29" s="10"/>
      <c r="M29" s="11"/>
      <c r="O29" s="9"/>
      <c r="P29" s="19" t="str">
        <f t="shared" si="3"/>
        <v/>
      </c>
      <c r="Q29" s="10"/>
      <c r="R29" s="11"/>
    </row>
    <row r="30" spans="2:18" ht="15.75" customHeight="1" x14ac:dyDescent="0.2">
      <c r="B30" s="79" t="s">
        <v>62</v>
      </c>
      <c r="C30" s="80" t="s">
        <v>59</v>
      </c>
      <c r="D30" s="81">
        <v>10</v>
      </c>
      <c r="E30" s="82">
        <f t="shared" si="0"/>
        <v>0</v>
      </c>
      <c r="F30" s="82">
        <f t="shared" si="1"/>
        <v>0</v>
      </c>
      <c r="G30" s="83">
        <f>PRODUCTOS[[#This Row],[CONTEO INICIAL]]+E30-F30</f>
        <v>10</v>
      </c>
      <c r="J30" s="6"/>
      <c r="K30" s="19" t="str">
        <f t="shared" si="2"/>
        <v/>
      </c>
      <c r="L30" s="7"/>
      <c r="M30" s="14"/>
      <c r="O30" s="6"/>
      <c r="P30" s="19" t="str">
        <f t="shared" si="3"/>
        <v/>
      </c>
      <c r="Q30" s="7"/>
      <c r="R30" s="14"/>
    </row>
    <row r="31" spans="2:18" ht="15.75" customHeight="1" x14ac:dyDescent="0.2">
      <c r="B31" s="79" t="s">
        <v>63</v>
      </c>
      <c r="C31" s="80" t="s">
        <v>64</v>
      </c>
      <c r="D31" s="81">
        <v>20</v>
      </c>
      <c r="E31" s="82">
        <f t="shared" si="0"/>
        <v>0</v>
      </c>
      <c r="F31" s="82">
        <f t="shared" si="1"/>
        <v>0</v>
      </c>
      <c r="G31" s="83">
        <f>PRODUCTOS[[#This Row],[CONTEO INICIAL]]+E31-F31</f>
        <v>20</v>
      </c>
      <c r="J31" s="9"/>
      <c r="K31" s="19" t="str">
        <f t="shared" si="2"/>
        <v/>
      </c>
      <c r="L31" s="10"/>
      <c r="M31" s="11"/>
      <c r="O31" s="9"/>
      <c r="P31" s="19" t="str">
        <f t="shared" si="3"/>
        <v/>
      </c>
      <c r="Q31" s="10"/>
      <c r="R31" s="11"/>
    </row>
    <row r="32" spans="2:18" ht="15.75" customHeight="1" x14ac:dyDescent="0.2">
      <c r="B32" s="27" t="s">
        <v>65</v>
      </c>
      <c r="C32" s="25" t="s">
        <v>66</v>
      </c>
      <c r="D32" s="41"/>
      <c r="E32" s="38">
        <f t="shared" si="0"/>
        <v>0</v>
      </c>
      <c r="F32" s="38">
        <f t="shared" si="1"/>
        <v>0</v>
      </c>
      <c r="G32" s="37">
        <f>PRODUCTOS[[#This Row],[CONTEO INICIAL]]+E32-F32</f>
        <v>0</v>
      </c>
      <c r="J32" s="6"/>
      <c r="K32" s="19" t="str">
        <f t="shared" si="2"/>
        <v/>
      </c>
      <c r="L32" s="7"/>
      <c r="M32" s="14"/>
      <c r="O32" s="6"/>
      <c r="P32" s="19" t="str">
        <f t="shared" si="3"/>
        <v/>
      </c>
      <c r="Q32" s="7"/>
      <c r="R32" s="14"/>
    </row>
    <row r="33" spans="2:18" ht="15.75" customHeight="1" x14ac:dyDescent="0.2">
      <c r="B33" s="27" t="s">
        <v>67</v>
      </c>
      <c r="C33" s="25" t="s">
        <v>68</v>
      </c>
      <c r="D33" s="41"/>
      <c r="E33" s="38">
        <f t="shared" si="0"/>
        <v>0</v>
      </c>
      <c r="F33" s="38">
        <f t="shared" si="1"/>
        <v>0</v>
      </c>
      <c r="G33" s="37">
        <f>PRODUCTOS[[#This Row],[CONTEO INICIAL]]+E33-F33</f>
        <v>0</v>
      </c>
      <c r="J33" s="9"/>
      <c r="K33" s="19" t="str">
        <f t="shared" si="2"/>
        <v/>
      </c>
      <c r="L33" s="10"/>
      <c r="M33" s="11"/>
      <c r="O33" s="9"/>
      <c r="P33" s="19" t="str">
        <f t="shared" si="3"/>
        <v/>
      </c>
      <c r="Q33" s="10"/>
      <c r="R33" s="11"/>
    </row>
    <row r="34" spans="2:18" ht="15.75" customHeight="1" x14ac:dyDescent="0.2">
      <c r="B34" s="27" t="s">
        <v>69</v>
      </c>
      <c r="C34" s="25" t="s">
        <v>70</v>
      </c>
      <c r="D34" s="41"/>
      <c r="E34" s="38">
        <f t="shared" si="0"/>
        <v>0</v>
      </c>
      <c r="F34" s="38">
        <f t="shared" si="1"/>
        <v>0</v>
      </c>
      <c r="G34" s="37">
        <f>PRODUCTOS[[#This Row],[CONTEO INICIAL]]+E34-F34</f>
        <v>0</v>
      </c>
      <c r="J34" s="6"/>
      <c r="K34" s="19" t="str">
        <f t="shared" si="2"/>
        <v/>
      </c>
      <c r="L34" s="7"/>
      <c r="M34" s="14"/>
      <c r="O34" s="6"/>
      <c r="P34" s="19" t="str">
        <f t="shared" si="3"/>
        <v/>
      </c>
      <c r="Q34" s="7"/>
      <c r="R34" s="14"/>
    </row>
    <row r="35" spans="2:18" ht="15.75" customHeight="1" x14ac:dyDescent="0.2">
      <c r="B35" s="27" t="s">
        <v>71</v>
      </c>
      <c r="C35" s="25" t="s">
        <v>72</v>
      </c>
      <c r="D35" s="41"/>
      <c r="E35" s="38">
        <f t="shared" si="0"/>
        <v>0</v>
      </c>
      <c r="F35" s="38">
        <f t="shared" si="1"/>
        <v>0</v>
      </c>
      <c r="G35" s="37">
        <f>PRODUCTOS[[#This Row],[CONTEO INICIAL]]+E35-F35</f>
        <v>0</v>
      </c>
      <c r="J35" s="9"/>
      <c r="K35" s="19" t="str">
        <f t="shared" si="2"/>
        <v/>
      </c>
      <c r="L35" s="10"/>
      <c r="M35" s="11"/>
      <c r="O35" s="9"/>
      <c r="P35" s="19" t="str">
        <f t="shared" si="3"/>
        <v/>
      </c>
      <c r="Q35" s="10"/>
      <c r="R35" s="11"/>
    </row>
    <row r="36" spans="2:18" ht="15.75" customHeight="1" x14ac:dyDescent="0.2">
      <c r="B36" s="27" t="s">
        <v>73</v>
      </c>
      <c r="C36" s="25" t="s">
        <v>74</v>
      </c>
      <c r="D36" s="41"/>
      <c r="E36" s="38">
        <f t="shared" si="0"/>
        <v>0</v>
      </c>
      <c r="F36" s="38">
        <f t="shared" si="1"/>
        <v>0</v>
      </c>
      <c r="G36" s="37">
        <f>PRODUCTOS[[#This Row],[CONTEO INICIAL]]+E36-F36</f>
        <v>0</v>
      </c>
      <c r="J36" s="6"/>
      <c r="K36" s="19" t="str">
        <f t="shared" si="2"/>
        <v/>
      </c>
      <c r="L36" s="7"/>
      <c r="M36" s="14"/>
      <c r="O36" s="6"/>
      <c r="P36" s="19" t="str">
        <f t="shared" si="3"/>
        <v/>
      </c>
      <c r="Q36" s="7"/>
      <c r="R36" s="14"/>
    </row>
    <row r="37" spans="2:18" ht="15.75" customHeight="1" x14ac:dyDescent="0.2">
      <c r="B37" s="27" t="s">
        <v>75</v>
      </c>
      <c r="C37" s="25" t="s">
        <v>76</v>
      </c>
      <c r="D37" s="41"/>
      <c r="E37" s="38">
        <f t="shared" si="0"/>
        <v>0</v>
      </c>
      <c r="F37" s="38">
        <f t="shared" si="1"/>
        <v>0</v>
      </c>
      <c r="G37" s="37">
        <f>PRODUCTOS[[#This Row],[CONTEO INICIAL]]+E37-F37</f>
        <v>0</v>
      </c>
      <c r="J37" s="9"/>
      <c r="K37" s="19" t="str">
        <f t="shared" si="2"/>
        <v/>
      </c>
      <c r="L37" s="10"/>
      <c r="M37" s="11"/>
      <c r="O37" s="9"/>
      <c r="P37" s="19" t="str">
        <f t="shared" si="3"/>
        <v/>
      </c>
      <c r="Q37" s="10"/>
      <c r="R37" s="11"/>
    </row>
    <row r="38" spans="2:18" ht="15.75" customHeight="1" x14ac:dyDescent="0.2">
      <c r="B38" s="27" t="s">
        <v>77</v>
      </c>
      <c r="C38" s="25" t="s">
        <v>78</v>
      </c>
      <c r="D38" s="41"/>
      <c r="E38" s="38">
        <f t="shared" si="0"/>
        <v>0</v>
      </c>
      <c r="F38" s="38">
        <f t="shared" si="1"/>
        <v>0</v>
      </c>
      <c r="G38" s="37">
        <f>PRODUCTOS[[#This Row],[CONTEO INICIAL]]+E38-F38</f>
        <v>0</v>
      </c>
      <c r="J38" s="6"/>
      <c r="K38" s="19" t="str">
        <f t="shared" si="2"/>
        <v/>
      </c>
      <c r="L38" s="7"/>
      <c r="M38" s="14"/>
      <c r="O38" s="6"/>
      <c r="P38" s="19" t="str">
        <f t="shared" si="3"/>
        <v/>
      </c>
      <c r="Q38" s="7"/>
      <c r="R38" s="14"/>
    </row>
    <row r="39" spans="2:18" ht="15.75" customHeight="1" x14ac:dyDescent="0.2">
      <c r="B39" s="27" t="s">
        <v>79</v>
      </c>
      <c r="C39" s="25" t="s">
        <v>80</v>
      </c>
      <c r="D39" s="41"/>
      <c r="E39" s="38">
        <f t="shared" si="0"/>
        <v>0</v>
      </c>
      <c r="F39" s="38">
        <f t="shared" si="1"/>
        <v>0</v>
      </c>
      <c r="G39" s="37">
        <f>PRODUCTOS[[#This Row],[CONTEO INICIAL]]+E39-F39</f>
        <v>0</v>
      </c>
      <c r="J39" s="9"/>
      <c r="K39" s="19" t="str">
        <f t="shared" si="2"/>
        <v/>
      </c>
      <c r="L39" s="10"/>
      <c r="M39" s="11"/>
      <c r="O39" s="9"/>
      <c r="P39" s="19" t="str">
        <f t="shared" si="3"/>
        <v/>
      </c>
      <c r="Q39" s="10"/>
      <c r="R39" s="11"/>
    </row>
    <row r="40" spans="2:18" ht="15.75" customHeight="1" x14ac:dyDescent="0.2">
      <c r="B40" s="27" t="s">
        <v>81</v>
      </c>
      <c r="C40" s="25" t="s">
        <v>82</v>
      </c>
      <c r="D40" s="41"/>
      <c r="E40" s="38">
        <f t="shared" si="0"/>
        <v>0</v>
      </c>
      <c r="F40" s="38">
        <f t="shared" si="1"/>
        <v>0</v>
      </c>
      <c r="G40" s="37">
        <f>PRODUCTOS[[#This Row],[CONTEO INICIAL]]+E40-F40</f>
        <v>0</v>
      </c>
      <c r="J40" s="6"/>
      <c r="K40" s="19" t="str">
        <f t="shared" si="2"/>
        <v/>
      </c>
      <c r="L40" s="7"/>
      <c r="M40" s="12"/>
      <c r="O40" s="6"/>
      <c r="P40" s="19" t="str">
        <f t="shared" si="3"/>
        <v/>
      </c>
      <c r="Q40" s="7"/>
      <c r="R40" s="14"/>
    </row>
    <row r="41" spans="2:18" ht="15.75" customHeight="1" x14ac:dyDescent="0.2">
      <c r="B41" s="27" t="s">
        <v>83</v>
      </c>
      <c r="C41" s="25" t="s">
        <v>84</v>
      </c>
      <c r="D41" s="41"/>
      <c r="E41" s="38">
        <f t="shared" si="0"/>
        <v>0</v>
      </c>
      <c r="F41" s="38">
        <f t="shared" si="1"/>
        <v>0</v>
      </c>
      <c r="G41" s="37">
        <f>PRODUCTOS[[#This Row],[CONTEO INICIAL]]+E41-F41</f>
        <v>0</v>
      </c>
      <c r="J41" s="9"/>
      <c r="K41" s="19" t="str">
        <f t="shared" si="2"/>
        <v/>
      </c>
      <c r="L41" s="10"/>
      <c r="M41" s="13"/>
      <c r="O41" s="9"/>
      <c r="P41" s="19" t="str">
        <f t="shared" si="3"/>
        <v/>
      </c>
      <c r="Q41" s="10"/>
      <c r="R41" s="11"/>
    </row>
    <row r="42" spans="2:18" ht="15.75" customHeight="1" x14ac:dyDescent="0.2">
      <c r="B42" s="27" t="s">
        <v>85</v>
      </c>
      <c r="C42" s="25" t="s">
        <v>86</v>
      </c>
      <c r="D42" s="41"/>
      <c r="E42" s="38">
        <f t="shared" si="0"/>
        <v>0</v>
      </c>
      <c r="F42" s="38">
        <f t="shared" si="1"/>
        <v>0</v>
      </c>
      <c r="G42" s="37">
        <f>PRODUCTOS[[#This Row],[CONTEO INICIAL]]+E42-F42</f>
        <v>0</v>
      </c>
      <c r="J42" s="6"/>
      <c r="K42" s="19" t="str">
        <f t="shared" si="2"/>
        <v/>
      </c>
      <c r="L42" s="7"/>
      <c r="M42" s="14"/>
      <c r="O42" s="6"/>
      <c r="P42" s="19" t="str">
        <f t="shared" si="3"/>
        <v/>
      </c>
      <c r="Q42" s="7"/>
      <c r="R42" s="14"/>
    </row>
    <row r="43" spans="2:18" ht="15.75" customHeight="1" x14ac:dyDescent="0.2">
      <c r="B43" s="27" t="s">
        <v>87</v>
      </c>
      <c r="C43" s="25" t="s">
        <v>88</v>
      </c>
      <c r="D43" s="41"/>
      <c r="E43" s="38">
        <f t="shared" si="0"/>
        <v>0</v>
      </c>
      <c r="F43" s="38">
        <f t="shared" si="1"/>
        <v>0</v>
      </c>
      <c r="G43" s="37">
        <f>PRODUCTOS[[#This Row],[CONTEO INICIAL]]+E43-F43</f>
        <v>0</v>
      </c>
      <c r="J43" s="9"/>
      <c r="K43" s="19" t="str">
        <f t="shared" si="2"/>
        <v/>
      </c>
      <c r="L43" s="8"/>
      <c r="M43" s="11"/>
      <c r="O43" s="9"/>
      <c r="P43" s="19" t="str">
        <f t="shared" si="3"/>
        <v/>
      </c>
      <c r="Q43" s="10"/>
      <c r="R43" s="11"/>
    </row>
    <row r="44" spans="2:18" ht="15.75" customHeight="1" x14ac:dyDescent="0.2">
      <c r="B44" s="27" t="s">
        <v>89</v>
      </c>
      <c r="C44" s="25" t="s">
        <v>90</v>
      </c>
      <c r="D44" s="41"/>
      <c r="E44" s="38">
        <f t="shared" si="0"/>
        <v>0</v>
      </c>
      <c r="F44" s="38">
        <f t="shared" si="1"/>
        <v>0</v>
      </c>
      <c r="G44" s="37">
        <f>PRODUCTOS[[#This Row],[CONTEO INICIAL]]+E44-F44</f>
        <v>0</v>
      </c>
      <c r="J44" s="6"/>
      <c r="K44" s="19" t="str">
        <f t="shared" si="2"/>
        <v/>
      </c>
      <c r="L44" s="3"/>
      <c r="M44" s="14"/>
      <c r="O44" s="6"/>
      <c r="P44" s="19" t="str">
        <f t="shared" si="3"/>
        <v/>
      </c>
      <c r="Q44" s="7"/>
      <c r="R44" s="14"/>
    </row>
    <row r="45" spans="2:18" ht="15.75" customHeight="1" x14ac:dyDescent="0.2">
      <c r="B45" s="27" t="s">
        <v>91</v>
      </c>
      <c r="C45" s="25" t="s">
        <v>92</v>
      </c>
      <c r="D45" s="41"/>
      <c r="E45" s="38">
        <f t="shared" si="0"/>
        <v>0</v>
      </c>
      <c r="F45" s="38">
        <f t="shared" si="1"/>
        <v>0</v>
      </c>
      <c r="G45" s="37">
        <f>PRODUCTOS[[#This Row],[CONTEO INICIAL]]+E45-F45</f>
        <v>0</v>
      </c>
      <c r="J45" s="9"/>
      <c r="K45" s="19" t="str">
        <f t="shared" si="2"/>
        <v/>
      </c>
      <c r="L45" s="8"/>
      <c r="M45" s="11"/>
      <c r="O45" s="9"/>
      <c r="P45" s="19" t="str">
        <f t="shared" si="3"/>
        <v/>
      </c>
      <c r="Q45" s="10"/>
      <c r="R45" s="11"/>
    </row>
    <row r="46" spans="2:18" ht="15.75" customHeight="1" x14ac:dyDescent="0.2">
      <c r="B46" s="27" t="s">
        <v>93</v>
      </c>
      <c r="C46" s="25" t="s">
        <v>94</v>
      </c>
      <c r="D46" s="41"/>
      <c r="E46" s="38">
        <f t="shared" si="0"/>
        <v>0</v>
      </c>
      <c r="F46" s="38">
        <f t="shared" si="1"/>
        <v>0</v>
      </c>
      <c r="G46" s="37">
        <f>PRODUCTOS[[#This Row],[CONTEO INICIAL]]+E46-F46</f>
        <v>0</v>
      </c>
      <c r="J46" s="6"/>
      <c r="K46" s="19" t="str">
        <f t="shared" si="2"/>
        <v/>
      </c>
      <c r="L46" s="3"/>
      <c r="M46" s="14"/>
      <c r="O46" s="6"/>
      <c r="P46" s="19" t="str">
        <f t="shared" si="3"/>
        <v/>
      </c>
      <c r="Q46" s="7"/>
      <c r="R46" s="14"/>
    </row>
    <row r="47" spans="2:18" ht="15.75" customHeight="1" x14ac:dyDescent="0.2">
      <c r="B47" s="27" t="s">
        <v>95</v>
      </c>
      <c r="C47" s="25" t="s">
        <v>96</v>
      </c>
      <c r="D47" s="41"/>
      <c r="E47" s="38">
        <f t="shared" si="0"/>
        <v>0</v>
      </c>
      <c r="F47" s="38">
        <f t="shared" si="1"/>
        <v>0</v>
      </c>
      <c r="G47" s="37">
        <f>PRODUCTOS[[#This Row],[CONTEO INICIAL]]+E47-F47</f>
        <v>0</v>
      </c>
      <c r="J47" s="9"/>
      <c r="K47" s="19" t="str">
        <f t="shared" si="2"/>
        <v/>
      </c>
      <c r="L47" s="8"/>
      <c r="M47" s="11"/>
      <c r="O47" s="9"/>
      <c r="P47" s="19" t="str">
        <f t="shared" si="3"/>
        <v/>
      </c>
      <c r="Q47" s="10"/>
      <c r="R47" s="11"/>
    </row>
    <row r="48" spans="2:18" ht="15.75" customHeight="1" x14ac:dyDescent="0.2">
      <c r="B48" s="27" t="s">
        <v>97</v>
      </c>
      <c r="C48" s="25" t="s">
        <v>98</v>
      </c>
      <c r="D48" s="41"/>
      <c r="E48" s="38">
        <f t="shared" si="0"/>
        <v>0</v>
      </c>
      <c r="F48" s="38">
        <f t="shared" si="1"/>
        <v>0</v>
      </c>
      <c r="G48" s="37">
        <f>PRODUCTOS[[#This Row],[CONTEO INICIAL]]+E48-F48</f>
        <v>0</v>
      </c>
      <c r="J48" s="6"/>
      <c r="K48" s="19" t="str">
        <f t="shared" si="2"/>
        <v/>
      </c>
      <c r="L48" s="3"/>
      <c r="M48" s="14"/>
      <c r="O48" s="6"/>
      <c r="P48" s="19" t="str">
        <f t="shared" si="3"/>
        <v/>
      </c>
      <c r="Q48" s="7"/>
      <c r="R48" s="14"/>
    </row>
    <row r="49" spans="2:18" ht="15.75" customHeight="1" x14ac:dyDescent="0.2">
      <c r="B49" s="27" t="s">
        <v>99</v>
      </c>
      <c r="C49" s="25" t="s">
        <v>100</v>
      </c>
      <c r="D49" s="41"/>
      <c r="E49" s="38">
        <f t="shared" si="0"/>
        <v>0</v>
      </c>
      <c r="F49" s="38">
        <f t="shared" si="1"/>
        <v>0</v>
      </c>
      <c r="G49" s="37">
        <f>PRODUCTOS[[#This Row],[CONTEO INICIAL]]+E49-F49</f>
        <v>0</v>
      </c>
      <c r="J49" s="9"/>
      <c r="K49" s="19" t="str">
        <f t="shared" si="2"/>
        <v/>
      </c>
      <c r="L49" s="8"/>
      <c r="M49" s="11"/>
      <c r="O49" s="9"/>
      <c r="P49" s="19" t="str">
        <f t="shared" si="3"/>
        <v/>
      </c>
      <c r="Q49" s="10"/>
      <c r="R49" s="11"/>
    </row>
    <row r="50" spans="2:18" ht="12.75" customHeight="1" x14ac:dyDescent="0.2">
      <c r="B50" s="27" t="s">
        <v>101</v>
      </c>
      <c r="C50" s="25" t="s">
        <v>102</v>
      </c>
      <c r="D50" s="41"/>
      <c r="E50" s="38">
        <f t="shared" si="0"/>
        <v>0</v>
      </c>
      <c r="F50" s="38">
        <f t="shared" si="1"/>
        <v>0</v>
      </c>
      <c r="G50" s="37">
        <f>PRODUCTOS[[#This Row],[CONTEO INICIAL]]+E50-F50</f>
        <v>0</v>
      </c>
      <c r="J50" s="6"/>
      <c r="K50" s="19" t="str">
        <f t="shared" si="2"/>
        <v/>
      </c>
      <c r="L50" s="3"/>
      <c r="M50" s="14"/>
      <c r="O50" s="6"/>
      <c r="P50" s="19" t="str">
        <f t="shared" si="3"/>
        <v/>
      </c>
      <c r="Q50" s="7"/>
      <c r="R50" s="14"/>
    </row>
    <row r="51" spans="2:18" ht="12.75" customHeight="1" x14ac:dyDescent="0.2">
      <c r="B51" s="27" t="s">
        <v>103</v>
      </c>
      <c r="C51" s="25" t="s">
        <v>104</v>
      </c>
      <c r="D51" s="41"/>
      <c r="E51" s="38">
        <f t="shared" si="0"/>
        <v>0</v>
      </c>
      <c r="F51" s="38">
        <f t="shared" si="1"/>
        <v>0</v>
      </c>
      <c r="G51" s="37">
        <f>PRODUCTOS[[#This Row],[CONTEO INICIAL]]+E51-F51</f>
        <v>0</v>
      </c>
      <c r="J51" s="9"/>
      <c r="K51" s="19" t="str">
        <f t="shared" si="2"/>
        <v/>
      </c>
      <c r="L51" s="8"/>
      <c r="M51" s="11"/>
      <c r="O51" s="9"/>
      <c r="P51" s="19" t="str">
        <f t="shared" si="3"/>
        <v/>
      </c>
      <c r="Q51" s="10"/>
      <c r="R51" s="11"/>
    </row>
    <row r="52" spans="2:18" ht="12.75" customHeight="1" x14ac:dyDescent="0.2">
      <c r="B52" s="27" t="s">
        <v>105</v>
      </c>
      <c r="C52" s="25" t="s">
        <v>106</v>
      </c>
      <c r="D52" s="41"/>
      <c r="E52" s="38">
        <f t="shared" si="0"/>
        <v>0</v>
      </c>
      <c r="F52" s="38">
        <f t="shared" si="1"/>
        <v>0</v>
      </c>
      <c r="G52" s="37">
        <f>PRODUCTOS[[#This Row],[CONTEO INICIAL]]+E52-F52</f>
        <v>0</v>
      </c>
      <c r="J52" s="6"/>
      <c r="K52" s="19" t="str">
        <f t="shared" si="2"/>
        <v/>
      </c>
      <c r="L52" s="3"/>
      <c r="M52" s="14"/>
      <c r="O52" s="6"/>
      <c r="P52" s="19" t="str">
        <f t="shared" si="3"/>
        <v/>
      </c>
      <c r="Q52" s="7"/>
      <c r="R52" s="14"/>
    </row>
    <row r="53" spans="2:18" ht="12.75" customHeight="1" x14ac:dyDescent="0.2">
      <c r="B53" s="27" t="s">
        <v>107</v>
      </c>
      <c r="C53" s="25" t="s">
        <v>108</v>
      </c>
      <c r="D53" s="41"/>
      <c r="E53" s="38">
        <f t="shared" si="0"/>
        <v>0</v>
      </c>
      <c r="F53" s="38">
        <f t="shared" si="1"/>
        <v>0</v>
      </c>
      <c r="G53" s="37">
        <f>PRODUCTOS[[#This Row],[CONTEO INICIAL]]+E53-F53</f>
        <v>0</v>
      </c>
      <c r="J53" s="9"/>
      <c r="K53" s="19" t="str">
        <f t="shared" si="2"/>
        <v/>
      </c>
      <c r="L53" s="8"/>
      <c r="M53" s="11"/>
      <c r="O53" s="9"/>
      <c r="P53" s="19" t="str">
        <f t="shared" si="3"/>
        <v/>
      </c>
      <c r="Q53" s="10"/>
      <c r="R53" s="11"/>
    </row>
    <row r="54" spans="2:18" ht="12.75" customHeight="1" x14ac:dyDescent="0.2">
      <c r="B54" s="27" t="s">
        <v>109</v>
      </c>
      <c r="C54" s="25" t="s">
        <v>110</v>
      </c>
      <c r="D54" s="41"/>
      <c r="E54" s="38">
        <f t="shared" si="0"/>
        <v>0</v>
      </c>
      <c r="F54" s="38">
        <f t="shared" si="1"/>
        <v>0</v>
      </c>
      <c r="G54" s="37">
        <f>PRODUCTOS[[#This Row],[CONTEO INICIAL]]+E54-F54</f>
        <v>0</v>
      </c>
      <c r="J54" s="6"/>
      <c r="K54" s="19" t="str">
        <f t="shared" si="2"/>
        <v/>
      </c>
      <c r="L54" s="3"/>
      <c r="M54" s="14"/>
      <c r="O54" s="6"/>
      <c r="P54" s="19" t="str">
        <f t="shared" si="3"/>
        <v/>
      </c>
      <c r="Q54" s="7"/>
      <c r="R54" s="14"/>
    </row>
    <row r="55" spans="2:18" ht="12.75" customHeight="1" x14ac:dyDescent="0.2">
      <c r="B55" s="79" t="s">
        <v>111</v>
      </c>
      <c r="C55" s="80" t="s">
        <v>112</v>
      </c>
      <c r="D55" s="81">
        <v>64</v>
      </c>
      <c r="E55" s="82">
        <f t="shared" si="0"/>
        <v>0</v>
      </c>
      <c r="F55" s="82">
        <f t="shared" si="1"/>
        <v>0</v>
      </c>
      <c r="G55" s="83">
        <f>PRODUCTOS[[#This Row],[CONTEO INICIAL]]+E55-F55</f>
        <v>64</v>
      </c>
      <c r="J55" s="9"/>
      <c r="K55" s="19" t="str">
        <f t="shared" si="2"/>
        <v/>
      </c>
      <c r="L55" s="8"/>
      <c r="M55" s="11"/>
      <c r="O55" s="9"/>
      <c r="P55" s="19" t="str">
        <f t="shared" si="3"/>
        <v/>
      </c>
      <c r="Q55" s="10"/>
      <c r="R55" s="11"/>
    </row>
    <row r="56" spans="2:18" ht="12.75" customHeight="1" x14ac:dyDescent="0.2">
      <c r="B56" s="27" t="s">
        <v>113</v>
      </c>
      <c r="C56" s="25" t="s">
        <v>114</v>
      </c>
      <c r="D56" s="41"/>
      <c r="E56" s="38">
        <f t="shared" si="0"/>
        <v>0</v>
      </c>
      <c r="F56" s="38">
        <f t="shared" si="1"/>
        <v>0</v>
      </c>
      <c r="G56" s="37">
        <f>PRODUCTOS[[#This Row],[CONTEO INICIAL]]+E56-F56</f>
        <v>0</v>
      </c>
      <c r="J56" s="6"/>
      <c r="K56" s="19" t="str">
        <f t="shared" si="2"/>
        <v/>
      </c>
      <c r="L56" s="3"/>
      <c r="M56" s="14"/>
      <c r="O56" s="6"/>
      <c r="P56" s="19" t="str">
        <f t="shared" si="3"/>
        <v/>
      </c>
      <c r="Q56" s="7"/>
      <c r="R56" s="14"/>
    </row>
    <row r="57" spans="2:18" ht="12.75" customHeight="1" x14ac:dyDescent="0.2">
      <c r="B57" s="27" t="s">
        <v>115</v>
      </c>
      <c r="C57" s="25" t="s">
        <v>116</v>
      </c>
      <c r="D57" s="41"/>
      <c r="E57" s="38">
        <f t="shared" si="0"/>
        <v>0</v>
      </c>
      <c r="F57" s="38">
        <f t="shared" si="1"/>
        <v>0</v>
      </c>
      <c r="G57" s="37">
        <f>PRODUCTOS[[#This Row],[CONTEO INICIAL]]+E57-F57</f>
        <v>0</v>
      </c>
      <c r="J57" s="9"/>
      <c r="K57" s="19" t="str">
        <f t="shared" si="2"/>
        <v/>
      </c>
      <c r="L57" s="8"/>
      <c r="M57" s="11"/>
      <c r="O57" s="9"/>
      <c r="P57" s="19" t="str">
        <f t="shared" si="3"/>
        <v/>
      </c>
      <c r="Q57" s="10"/>
      <c r="R57" s="11"/>
    </row>
    <row r="58" spans="2:18" ht="12.75" customHeight="1" x14ac:dyDescent="0.2">
      <c r="B58" s="27" t="s">
        <v>117</v>
      </c>
      <c r="C58" s="25" t="s">
        <v>118</v>
      </c>
      <c r="D58" s="41"/>
      <c r="E58" s="38">
        <f t="shared" si="0"/>
        <v>0</v>
      </c>
      <c r="F58" s="38">
        <f t="shared" si="1"/>
        <v>0</v>
      </c>
      <c r="G58" s="37">
        <f>PRODUCTOS[[#This Row],[CONTEO INICIAL]]+E58-F58</f>
        <v>0</v>
      </c>
      <c r="J58" s="6"/>
      <c r="K58" s="19" t="str">
        <f t="shared" si="2"/>
        <v/>
      </c>
      <c r="L58" s="3"/>
      <c r="M58" s="14"/>
      <c r="O58" s="6"/>
      <c r="P58" s="19" t="str">
        <f t="shared" si="3"/>
        <v/>
      </c>
      <c r="Q58" s="7"/>
      <c r="R58" s="14"/>
    </row>
    <row r="59" spans="2:18" ht="12.75" customHeight="1" x14ac:dyDescent="0.2">
      <c r="B59" s="27" t="s">
        <v>119</v>
      </c>
      <c r="C59" s="25" t="s">
        <v>120</v>
      </c>
      <c r="D59" s="41"/>
      <c r="E59" s="38">
        <f t="shared" si="0"/>
        <v>0</v>
      </c>
      <c r="F59" s="38">
        <f t="shared" si="1"/>
        <v>0</v>
      </c>
      <c r="G59" s="37">
        <f>PRODUCTOS[[#This Row],[CONTEO INICIAL]]+E59-F59</f>
        <v>0</v>
      </c>
      <c r="J59" s="9"/>
      <c r="K59" s="19" t="str">
        <f t="shared" si="2"/>
        <v/>
      </c>
      <c r="L59" s="8"/>
      <c r="M59" s="11"/>
      <c r="O59" s="9"/>
      <c r="P59" s="19" t="str">
        <f t="shared" si="3"/>
        <v/>
      </c>
      <c r="Q59" s="10"/>
      <c r="R59" s="11"/>
    </row>
    <row r="60" spans="2:18" ht="12.75" customHeight="1" x14ac:dyDescent="0.2">
      <c r="B60" s="27" t="s">
        <v>121</v>
      </c>
      <c r="C60" s="25" t="s">
        <v>122</v>
      </c>
      <c r="D60" s="41"/>
      <c r="E60" s="38">
        <f t="shared" si="0"/>
        <v>0</v>
      </c>
      <c r="F60" s="38">
        <f t="shared" si="1"/>
        <v>0</v>
      </c>
      <c r="G60" s="37">
        <f>PRODUCTOS[[#This Row],[CONTEO INICIAL]]+E60-F60</f>
        <v>0</v>
      </c>
      <c r="J60" s="6"/>
      <c r="K60" s="19" t="str">
        <f t="shared" si="2"/>
        <v/>
      </c>
      <c r="L60" s="3"/>
      <c r="M60" s="14"/>
      <c r="O60" s="6"/>
      <c r="P60" s="19" t="str">
        <f t="shared" si="3"/>
        <v/>
      </c>
      <c r="Q60" s="7"/>
      <c r="R60" s="14"/>
    </row>
    <row r="61" spans="2:18" ht="25.5" customHeight="1" x14ac:dyDescent="0.2">
      <c r="B61" s="27" t="s">
        <v>123</v>
      </c>
      <c r="C61" s="25" t="s">
        <v>124</v>
      </c>
      <c r="D61" s="41"/>
      <c r="E61" s="38">
        <f t="shared" si="0"/>
        <v>0</v>
      </c>
      <c r="F61" s="38">
        <f t="shared" si="1"/>
        <v>0</v>
      </c>
      <c r="G61" s="37">
        <f>PRODUCTOS[[#This Row],[CONTEO INICIAL]]+E61-F61</f>
        <v>0</v>
      </c>
      <c r="J61" s="9"/>
      <c r="K61" s="19" t="str">
        <f t="shared" si="2"/>
        <v/>
      </c>
      <c r="L61" s="8"/>
      <c r="M61" s="11"/>
      <c r="O61" s="9"/>
      <c r="P61" s="19" t="str">
        <f t="shared" si="3"/>
        <v/>
      </c>
      <c r="Q61" s="10"/>
      <c r="R61" s="11"/>
    </row>
    <row r="62" spans="2:18" ht="12.75" customHeight="1" x14ac:dyDescent="0.2">
      <c r="B62" s="27" t="s">
        <v>125</v>
      </c>
      <c r="C62" s="25" t="s">
        <v>126</v>
      </c>
      <c r="D62" s="41"/>
      <c r="E62" s="38">
        <f t="shared" si="0"/>
        <v>0</v>
      </c>
      <c r="F62" s="38">
        <f t="shared" si="1"/>
        <v>0</v>
      </c>
      <c r="G62" s="37">
        <f>PRODUCTOS[[#This Row],[CONTEO INICIAL]]+E62-F62</f>
        <v>0</v>
      </c>
      <c r="J62" s="6"/>
      <c r="K62" s="19" t="str">
        <f t="shared" si="2"/>
        <v/>
      </c>
      <c r="L62" s="3"/>
      <c r="M62" s="14"/>
      <c r="O62" s="6"/>
      <c r="P62" s="19" t="str">
        <f t="shared" si="3"/>
        <v/>
      </c>
      <c r="Q62" s="7"/>
      <c r="R62" s="14"/>
    </row>
    <row r="63" spans="2:18" ht="12.75" customHeight="1" x14ac:dyDescent="0.2">
      <c r="B63" s="27" t="s">
        <v>127</v>
      </c>
      <c r="C63" s="25" t="s">
        <v>128</v>
      </c>
      <c r="D63" s="41"/>
      <c r="E63" s="38">
        <f t="shared" si="0"/>
        <v>0</v>
      </c>
      <c r="F63" s="38">
        <f t="shared" si="1"/>
        <v>0</v>
      </c>
      <c r="G63" s="37">
        <f>PRODUCTOS[[#This Row],[CONTEO INICIAL]]+E63-F63</f>
        <v>0</v>
      </c>
      <c r="J63" s="9"/>
      <c r="K63" s="19" t="str">
        <f t="shared" si="2"/>
        <v/>
      </c>
      <c r="L63" s="8"/>
      <c r="M63" s="11"/>
      <c r="O63" s="9"/>
      <c r="P63" s="19" t="str">
        <f t="shared" si="3"/>
        <v/>
      </c>
      <c r="Q63" s="10"/>
      <c r="R63" s="11"/>
    </row>
    <row r="64" spans="2:18" ht="12.75" customHeight="1" x14ac:dyDescent="0.2">
      <c r="B64" s="27" t="s">
        <v>129</v>
      </c>
      <c r="C64" s="25" t="s">
        <v>130</v>
      </c>
      <c r="D64" s="41"/>
      <c r="E64" s="38">
        <f t="shared" si="0"/>
        <v>0</v>
      </c>
      <c r="F64" s="38">
        <f t="shared" si="1"/>
        <v>0</v>
      </c>
      <c r="G64" s="37">
        <f>PRODUCTOS[[#This Row],[CONTEO INICIAL]]+E64-F64</f>
        <v>0</v>
      </c>
      <c r="J64" s="6"/>
      <c r="K64" s="19" t="str">
        <f t="shared" si="2"/>
        <v/>
      </c>
      <c r="L64" s="3"/>
      <c r="M64" s="14"/>
      <c r="O64" s="6"/>
      <c r="P64" s="19" t="str">
        <f t="shared" si="3"/>
        <v/>
      </c>
      <c r="Q64" s="7"/>
      <c r="R64" s="14"/>
    </row>
    <row r="65" spans="2:18" ht="12.75" customHeight="1" x14ac:dyDescent="0.2">
      <c r="B65" s="27" t="s">
        <v>131</v>
      </c>
      <c r="C65" s="25" t="s">
        <v>132</v>
      </c>
      <c r="D65" s="41"/>
      <c r="E65" s="38">
        <f t="shared" si="0"/>
        <v>0</v>
      </c>
      <c r="F65" s="38">
        <f t="shared" si="1"/>
        <v>0</v>
      </c>
      <c r="G65" s="37">
        <f>PRODUCTOS[[#This Row],[CONTEO INICIAL]]+E65-F65</f>
        <v>0</v>
      </c>
      <c r="J65" s="9"/>
      <c r="K65" s="19" t="str">
        <f t="shared" si="2"/>
        <v/>
      </c>
      <c r="L65" s="8"/>
      <c r="M65" s="11"/>
      <c r="O65" s="9"/>
      <c r="P65" s="19" t="str">
        <f t="shared" si="3"/>
        <v/>
      </c>
      <c r="Q65" s="10"/>
      <c r="R65" s="11"/>
    </row>
    <row r="66" spans="2:18" ht="12.75" customHeight="1" x14ac:dyDescent="0.2">
      <c r="B66" s="27" t="s">
        <v>133</v>
      </c>
      <c r="C66" s="25" t="s">
        <v>134</v>
      </c>
      <c r="D66" s="41"/>
      <c r="E66" s="38">
        <f t="shared" si="0"/>
        <v>0</v>
      </c>
      <c r="F66" s="38">
        <f t="shared" si="1"/>
        <v>0</v>
      </c>
      <c r="G66" s="37">
        <f>PRODUCTOS[[#This Row],[CONTEO INICIAL]]+E66-F66</f>
        <v>0</v>
      </c>
      <c r="J66" s="6"/>
      <c r="K66" s="19" t="str">
        <f t="shared" si="2"/>
        <v/>
      </c>
      <c r="L66" s="3"/>
      <c r="M66" s="14"/>
      <c r="O66" s="6"/>
      <c r="P66" s="19" t="str">
        <f t="shared" si="3"/>
        <v/>
      </c>
      <c r="Q66" s="7"/>
      <c r="R66" s="14"/>
    </row>
    <row r="67" spans="2:18" ht="12.75" customHeight="1" x14ac:dyDescent="0.2">
      <c r="B67" s="73" t="s">
        <v>600</v>
      </c>
      <c r="C67" s="74" t="s">
        <v>136</v>
      </c>
      <c r="D67" s="75">
        <v>8</v>
      </c>
      <c r="E67" s="76">
        <f t="shared" si="0"/>
        <v>0</v>
      </c>
      <c r="F67" s="76">
        <f t="shared" si="1"/>
        <v>0</v>
      </c>
      <c r="G67" s="77">
        <f>PRODUCTOS[[#This Row],[CONTEO INICIAL]]+E67-F67</f>
        <v>8</v>
      </c>
      <c r="J67" s="9"/>
      <c r="K67" s="19" t="str">
        <f t="shared" si="2"/>
        <v/>
      </c>
      <c r="L67" s="8"/>
      <c r="M67" s="11"/>
      <c r="O67" s="9"/>
      <c r="P67" s="19" t="str">
        <f t="shared" si="3"/>
        <v/>
      </c>
      <c r="Q67" s="10"/>
      <c r="R67" s="11"/>
    </row>
    <row r="68" spans="2:18" ht="12.75" customHeight="1" x14ac:dyDescent="0.2">
      <c r="B68" s="73" t="s">
        <v>601</v>
      </c>
      <c r="C68" s="74" t="s">
        <v>138</v>
      </c>
      <c r="D68" s="75">
        <v>3</v>
      </c>
      <c r="E68" s="76">
        <f t="shared" si="0"/>
        <v>0</v>
      </c>
      <c r="F68" s="76">
        <f t="shared" si="1"/>
        <v>0</v>
      </c>
      <c r="G68" s="77">
        <f>PRODUCTOS[[#This Row],[CONTEO INICIAL]]+E68-F68</f>
        <v>3</v>
      </c>
      <c r="J68" s="6"/>
      <c r="K68" s="19" t="str">
        <f t="shared" ref="K68:K131" si="4">IF(J68="", "", IFERROR(VLOOKUP(J68&amp;"", $B$4:$C$5005, 2, FALSE), "NO EXISTE"))</f>
        <v/>
      </c>
      <c r="L68" s="3"/>
      <c r="M68" s="14"/>
      <c r="O68" s="6"/>
      <c r="P68" s="19" t="str">
        <f t="shared" si="3"/>
        <v/>
      </c>
      <c r="Q68" s="7"/>
      <c r="R68" s="14"/>
    </row>
    <row r="69" spans="2:18" ht="12.75" customHeight="1" x14ac:dyDescent="0.2">
      <c r="B69" s="27" t="s">
        <v>602</v>
      </c>
      <c r="C69" s="25" t="s">
        <v>138</v>
      </c>
      <c r="D69" s="41"/>
      <c r="E69" s="38">
        <f t="shared" ref="E69:E132" si="5">SUMIF($J$4:$J$5000, B69, $M$4:$M$5000)</f>
        <v>0</v>
      </c>
      <c r="F69" s="38">
        <f t="shared" ref="F69:F132" si="6">SUMIF($O$4:$O$5000, B69, $R$4:$R$5000)</f>
        <v>0</v>
      </c>
      <c r="G69" s="37">
        <f>PRODUCTOS[[#This Row],[CONTEO INICIAL]]+E69-F69</f>
        <v>0</v>
      </c>
      <c r="J69" s="9"/>
      <c r="K69" s="19" t="str">
        <f t="shared" si="4"/>
        <v/>
      </c>
      <c r="L69" s="8"/>
      <c r="M69" s="11"/>
      <c r="O69" s="9"/>
      <c r="P69" s="19" t="str">
        <f t="shared" si="3"/>
        <v/>
      </c>
      <c r="Q69" s="10"/>
      <c r="R69" s="11"/>
    </row>
    <row r="70" spans="2:18" ht="12.75" customHeight="1" x14ac:dyDescent="0.2">
      <c r="B70" s="27" t="s">
        <v>603</v>
      </c>
      <c r="C70" s="25" t="s">
        <v>141</v>
      </c>
      <c r="D70" s="41"/>
      <c r="E70" s="38">
        <f t="shared" si="5"/>
        <v>0</v>
      </c>
      <c r="F70" s="38">
        <f t="shared" si="6"/>
        <v>0</v>
      </c>
      <c r="G70" s="37">
        <f>PRODUCTOS[[#This Row],[CONTEO INICIAL]]+E70-F70</f>
        <v>0</v>
      </c>
      <c r="J70" s="6"/>
      <c r="K70" s="19" t="str">
        <f t="shared" si="4"/>
        <v/>
      </c>
      <c r="L70" s="3"/>
      <c r="M70" s="14"/>
      <c r="O70" s="6"/>
      <c r="P70" s="19" t="str">
        <f t="shared" si="3"/>
        <v/>
      </c>
      <c r="Q70" s="7"/>
      <c r="R70" s="14"/>
    </row>
    <row r="71" spans="2:18" ht="12.75" customHeight="1" x14ac:dyDescent="0.2">
      <c r="B71" s="27" t="s">
        <v>142</v>
      </c>
      <c r="C71" s="25" t="s">
        <v>143</v>
      </c>
      <c r="D71" s="41"/>
      <c r="E71" s="38">
        <f t="shared" si="5"/>
        <v>0</v>
      </c>
      <c r="F71" s="38">
        <f t="shared" si="6"/>
        <v>0</v>
      </c>
      <c r="G71" s="37">
        <f>PRODUCTOS[[#This Row],[CONTEO INICIAL]]+E71-F71</f>
        <v>0</v>
      </c>
      <c r="J71" s="9"/>
      <c r="K71" s="19" t="str">
        <f t="shared" si="4"/>
        <v/>
      </c>
      <c r="L71" s="8"/>
      <c r="M71" s="11"/>
      <c r="O71" s="9"/>
      <c r="P71" s="19" t="str">
        <f t="shared" si="3"/>
        <v/>
      </c>
      <c r="Q71" s="10"/>
      <c r="R71" s="11"/>
    </row>
    <row r="72" spans="2:18" ht="12.75" customHeight="1" x14ac:dyDescent="0.2">
      <c r="B72" s="27" t="s">
        <v>144</v>
      </c>
      <c r="C72" s="25" t="s">
        <v>145</v>
      </c>
      <c r="D72" s="41"/>
      <c r="E72" s="38">
        <f t="shared" si="5"/>
        <v>0</v>
      </c>
      <c r="F72" s="38">
        <f t="shared" si="6"/>
        <v>0</v>
      </c>
      <c r="G72" s="37">
        <f>PRODUCTOS[[#This Row],[CONTEO INICIAL]]+E72-F72</f>
        <v>0</v>
      </c>
      <c r="J72" s="6"/>
      <c r="K72" s="19" t="str">
        <f t="shared" si="4"/>
        <v/>
      </c>
      <c r="L72" s="3"/>
      <c r="M72" s="14"/>
      <c r="O72" s="6"/>
      <c r="P72" s="19" t="str">
        <f t="shared" si="3"/>
        <v/>
      </c>
      <c r="Q72" s="7"/>
      <c r="R72" s="14"/>
    </row>
    <row r="73" spans="2:18" ht="12.75" customHeight="1" x14ac:dyDescent="0.2">
      <c r="B73" s="27" t="s">
        <v>146</v>
      </c>
      <c r="C73" s="25" t="s">
        <v>147</v>
      </c>
      <c r="D73" s="41"/>
      <c r="E73" s="38">
        <f t="shared" si="5"/>
        <v>0</v>
      </c>
      <c r="F73" s="38">
        <f t="shared" si="6"/>
        <v>0</v>
      </c>
      <c r="G73" s="37">
        <f>PRODUCTOS[[#This Row],[CONTEO INICIAL]]+E73-F73</f>
        <v>0</v>
      </c>
      <c r="J73" s="9"/>
      <c r="K73" s="19" t="str">
        <f t="shared" si="4"/>
        <v/>
      </c>
      <c r="L73" s="8"/>
      <c r="M73" s="11"/>
      <c r="O73" s="9"/>
      <c r="P73" s="19" t="str">
        <f t="shared" si="3"/>
        <v/>
      </c>
      <c r="Q73" s="10"/>
      <c r="R73" s="11"/>
    </row>
    <row r="74" spans="2:18" ht="12.75" customHeight="1" x14ac:dyDescent="0.2">
      <c r="B74" s="27" t="s">
        <v>148</v>
      </c>
      <c r="C74" s="25" t="s">
        <v>149</v>
      </c>
      <c r="D74" s="41"/>
      <c r="E74" s="38">
        <f t="shared" si="5"/>
        <v>0</v>
      </c>
      <c r="F74" s="38">
        <f t="shared" si="6"/>
        <v>0</v>
      </c>
      <c r="G74" s="37">
        <f>PRODUCTOS[[#This Row],[CONTEO INICIAL]]+E74-F74</f>
        <v>0</v>
      </c>
      <c r="J74" s="6"/>
      <c r="K74" s="19" t="str">
        <f t="shared" si="4"/>
        <v/>
      </c>
      <c r="L74" s="3"/>
      <c r="M74" s="14"/>
      <c r="O74" s="6"/>
      <c r="P74" s="19" t="str">
        <f t="shared" ref="P74:P137" si="7">IF(O74="", "", IFERROR(VLOOKUP(O74&amp;"", $B$4:$C$5005, 2, FALSE), "NO EXISTE"))</f>
        <v/>
      </c>
      <c r="Q74" s="7"/>
      <c r="R74" s="14"/>
    </row>
    <row r="75" spans="2:18" ht="12.75" customHeight="1" x14ac:dyDescent="0.2">
      <c r="B75" s="27" t="s">
        <v>150</v>
      </c>
      <c r="C75" s="25" t="s">
        <v>151</v>
      </c>
      <c r="D75" s="41"/>
      <c r="E75" s="38">
        <f t="shared" si="5"/>
        <v>0</v>
      </c>
      <c r="F75" s="38">
        <f t="shared" si="6"/>
        <v>0</v>
      </c>
      <c r="G75" s="37">
        <f>PRODUCTOS[[#This Row],[CONTEO INICIAL]]+E75-F75</f>
        <v>0</v>
      </c>
      <c r="J75" s="9"/>
      <c r="K75" s="19" t="str">
        <f t="shared" si="4"/>
        <v/>
      </c>
      <c r="L75" s="8"/>
      <c r="M75" s="11"/>
      <c r="O75" s="9"/>
      <c r="P75" s="19" t="str">
        <f t="shared" si="7"/>
        <v/>
      </c>
      <c r="Q75" s="10"/>
      <c r="R75" s="11"/>
    </row>
    <row r="76" spans="2:18" s="70" customFormat="1" ht="12.75" customHeight="1" x14ac:dyDescent="0.2">
      <c r="B76" s="27" t="s">
        <v>152</v>
      </c>
      <c r="C76" s="25" t="s">
        <v>153</v>
      </c>
      <c r="D76" s="41"/>
      <c r="E76" s="38">
        <f t="shared" si="5"/>
        <v>250</v>
      </c>
      <c r="F76" s="38">
        <f t="shared" si="6"/>
        <v>0</v>
      </c>
      <c r="G76" s="37">
        <f>PRODUCTOS[[#This Row],[CONTEO INICIAL]]+E76-F76</f>
        <v>250</v>
      </c>
      <c r="H76"/>
      <c r="J76" s="87"/>
      <c r="K76" s="84" t="str">
        <f t="shared" si="4"/>
        <v/>
      </c>
      <c r="L76" s="88"/>
      <c r="M76" s="89"/>
      <c r="O76" s="87"/>
      <c r="P76" s="84" t="str">
        <f t="shared" si="7"/>
        <v/>
      </c>
      <c r="Q76" s="90"/>
      <c r="R76" s="89"/>
    </row>
    <row r="77" spans="2:18" ht="12.75" customHeight="1" x14ac:dyDescent="0.2">
      <c r="B77" s="79" t="s">
        <v>154</v>
      </c>
      <c r="C77" s="80" t="s">
        <v>155</v>
      </c>
      <c r="D77" s="81">
        <v>900</v>
      </c>
      <c r="E77" s="82">
        <f t="shared" si="5"/>
        <v>0</v>
      </c>
      <c r="F77" s="82">
        <f t="shared" si="6"/>
        <v>0</v>
      </c>
      <c r="G77" s="83">
        <f>PRODUCTOS[[#This Row],[CONTEO INICIAL]]+E77-F77</f>
        <v>900</v>
      </c>
      <c r="H77" s="70"/>
      <c r="J77" s="9"/>
      <c r="K77" s="19" t="str">
        <f t="shared" si="4"/>
        <v/>
      </c>
      <c r="L77" s="8"/>
      <c r="M77" s="11"/>
      <c r="O77" s="9"/>
      <c r="P77" s="19" t="str">
        <f t="shared" si="7"/>
        <v/>
      </c>
      <c r="Q77" s="10"/>
      <c r="R77" s="11"/>
    </row>
    <row r="78" spans="2:18" ht="12.75" customHeight="1" x14ac:dyDescent="0.2">
      <c r="B78" s="79" t="s">
        <v>156</v>
      </c>
      <c r="C78" s="80" t="s">
        <v>157</v>
      </c>
      <c r="D78" s="81">
        <v>132</v>
      </c>
      <c r="E78" s="82">
        <f t="shared" si="5"/>
        <v>0</v>
      </c>
      <c r="F78" s="82">
        <f t="shared" si="6"/>
        <v>0</v>
      </c>
      <c r="G78" s="83">
        <f>PRODUCTOS[[#This Row],[CONTEO INICIAL]]+E78-F78</f>
        <v>132</v>
      </c>
      <c r="J78" s="6"/>
      <c r="K78" s="19" t="str">
        <f t="shared" si="4"/>
        <v/>
      </c>
      <c r="L78" s="3"/>
      <c r="M78" s="14"/>
      <c r="O78" s="6"/>
      <c r="P78" s="19" t="str">
        <f t="shared" si="7"/>
        <v/>
      </c>
      <c r="Q78" s="7"/>
      <c r="R78" s="14"/>
    </row>
    <row r="79" spans="2:18" ht="12.75" customHeight="1" x14ac:dyDescent="0.2">
      <c r="B79" s="27" t="s">
        <v>158</v>
      </c>
      <c r="C79" s="25" t="s">
        <v>159</v>
      </c>
      <c r="D79" s="41"/>
      <c r="E79" s="38">
        <f t="shared" si="5"/>
        <v>0</v>
      </c>
      <c r="F79" s="38">
        <f t="shared" si="6"/>
        <v>0</v>
      </c>
      <c r="G79" s="37">
        <f>PRODUCTOS[[#This Row],[CONTEO INICIAL]]+E79-F79</f>
        <v>0</v>
      </c>
      <c r="J79" s="9"/>
      <c r="K79" s="19" t="str">
        <f t="shared" si="4"/>
        <v/>
      </c>
      <c r="L79" s="8"/>
      <c r="M79" s="11"/>
      <c r="O79" s="9"/>
      <c r="P79" s="19" t="str">
        <f t="shared" si="7"/>
        <v/>
      </c>
      <c r="Q79" s="10"/>
      <c r="R79" s="11"/>
    </row>
    <row r="80" spans="2:18" s="70" customFormat="1" ht="12.75" customHeight="1" x14ac:dyDescent="0.2">
      <c r="B80" s="27" t="s">
        <v>160</v>
      </c>
      <c r="C80" s="25" t="s">
        <v>161</v>
      </c>
      <c r="D80" s="41"/>
      <c r="E80" s="38">
        <f t="shared" si="5"/>
        <v>250</v>
      </c>
      <c r="F80" s="38">
        <f t="shared" si="6"/>
        <v>0</v>
      </c>
      <c r="G80" s="37">
        <f>PRODUCTOS[[#This Row],[CONTEO INICIAL]]+E80-F80</f>
        <v>250</v>
      </c>
      <c r="H80"/>
      <c r="J80" s="87"/>
      <c r="K80" s="84" t="str">
        <f t="shared" si="4"/>
        <v/>
      </c>
      <c r="L80" s="88"/>
      <c r="M80" s="89"/>
      <c r="O80" s="87"/>
      <c r="P80" s="84" t="str">
        <f t="shared" si="7"/>
        <v/>
      </c>
      <c r="Q80" s="90"/>
      <c r="R80" s="89"/>
    </row>
    <row r="81" spans="2:18" ht="12.75" customHeight="1" x14ac:dyDescent="0.2">
      <c r="B81" s="79" t="s">
        <v>162</v>
      </c>
      <c r="C81" s="80" t="s">
        <v>163</v>
      </c>
      <c r="D81" s="81">
        <v>1000</v>
      </c>
      <c r="E81" s="82">
        <f>SUMIF($J$4:$J$5000, B81, $M$4:$M$5000)</f>
        <v>0</v>
      </c>
      <c r="F81" s="82">
        <f t="shared" si="6"/>
        <v>0</v>
      </c>
      <c r="G81" s="83">
        <f>PRODUCTOS[[#This Row],[CONTEO INICIAL]]+E81-F81</f>
        <v>1000</v>
      </c>
      <c r="H81" s="70"/>
      <c r="J81" s="9"/>
      <c r="K81" s="19" t="str">
        <f t="shared" si="4"/>
        <v/>
      </c>
      <c r="L81" s="8"/>
      <c r="M81" s="11"/>
      <c r="O81" s="9"/>
      <c r="P81" s="19" t="str">
        <f t="shared" si="7"/>
        <v/>
      </c>
      <c r="Q81" s="10"/>
      <c r="R81" s="11"/>
    </row>
    <row r="82" spans="2:18" ht="12.75" customHeight="1" x14ac:dyDescent="0.2">
      <c r="B82" s="27" t="s">
        <v>164</v>
      </c>
      <c r="C82" s="25" t="s">
        <v>165</v>
      </c>
      <c r="D82" s="41"/>
      <c r="E82" s="38">
        <f t="shared" si="5"/>
        <v>0</v>
      </c>
      <c r="F82" s="38">
        <f t="shared" si="6"/>
        <v>0</v>
      </c>
      <c r="G82" s="37">
        <f>PRODUCTOS[[#This Row],[CONTEO INICIAL]]+E82-F82</f>
        <v>0</v>
      </c>
      <c r="J82" s="6"/>
      <c r="K82" s="19" t="str">
        <f t="shared" si="4"/>
        <v/>
      </c>
      <c r="L82" s="3"/>
      <c r="M82" s="14"/>
      <c r="O82" s="6"/>
      <c r="P82" s="19" t="str">
        <f t="shared" si="7"/>
        <v/>
      </c>
      <c r="Q82" s="7"/>
      <c r="R82" s="12"/>
    </row>
    <row r="83" spans="2:18" ht="12.75" customHeight="1" x14ac:dyDescent="0.2">
      <c r="B83" s="27" t="s">
        <v>166</v>
      </c>
      <c r="C83" s="25" t="s">
        <v>167</v>
      </c>
      <c r="D83" s="41"/>
      <c r="E83" s="38">
        <f t="shared" si="5"/>
        <v>0</v>
      </c>
      <c r="F83" s="38">
        <f t="shared" si="6"/>
        <v>0</v>
      </c>
      <c r="G83" s="37">
        <f>PRODUCTOS[[#This Row],[CONTEO INICIAL]]+E83-F83</f>
        <v>0</v>
      </c>
      <c r="J83" s="9"/>
      <c r="K83" s="19" t="str">
        <f t="shared" si="4"/>
        <v/>
      </c>
      <c r="L83" s="8"/>
      <c r="M83" s="11"/>
      <c r="O83" s="9"/>
      <c r="P83" s="19" t="str">
        <f t="shared" si="7"/>
        <v/>
      </c>
      <c r="Q83" s="10"/>
      <c r="R83" s="11"/>
    </row>
    <row r="84" spans="2:18" ht="12.75" customHeight="1" x14ac:dyDescent="0.2">
      <c r="B84" s="27" t="s">
        <v>168</v>
      </c>
      <c r="C84" s="25" t="s">
        <v>169</v>
      </c>
      <c r="D84" s="41"/>
      <c r="E84" s="38">
        <f t="shared" si="5"/>
        <v>0</v>
      </c>
      <c r="F84" s="38">
        <f t="shared" si="6"/>
        <v>0</v>
      </c>
      <c r="G84" s="37">
        <f>PRODUCTOS[[#This Row],[CONTEO INICIAL]]+E84-F84</f>
        <v>0</v>
      </c>
      <c r="J84" s="6"/>
      <c r="K84" s="19" t="str">
        <f t="shared" si="4"/>
        <v/>
      </c>
      <c r="L84" s="3"/>
      <c r="M84" s="14"/>
      <c r="O84" s="6"/>
      <c r="P84" s="19" t="str">
        <f t="shared" si="7"/>
        <v/>
      </c>
      <c r="Q84" s="7"/>
      <c r="R84" s="12"/>
    </row>
    <row r="85" spans="2:18" ht="12.75" customHeight="1" x14ac:dyDescent="0.2">
      <c r="B85" s="27" t="s">
        <v>170</v>
      </c>
      <c r="C85" s="25" t="s">
        <v>171</v>
      </c>
      <c r="D85" s="41"/>
      <c r="E85" s="38">
        <f t="shared" si="5"/>
        <v>0</v>
      </c>
      <c r="F85" s="38">
        <f t="shared" si="6"/>
        <v>0</v>
      </c>
      <c r="G85" s="37">
        <f>PRODUCTOS[[#This Row],[CONTEO INICIAL]]+E85-F85</f>
        <v>0</v>
      </c>
      <c r="J85" s="9"/>
      <c r="K85" s="19" t="str">
        <f t="shared" si="4"/>
        <v/>
      </c>
      <c r="L85" s="8"/>
      <c r="M85" s="11"/>
      <c r="O85" s="9"/>
      <c r="P85" s="19" t="str">
        <f t="shared" si="7"/>
        <v/>
      </c>
      <c r="Q85" s="8"/>
      <c r="R85" s="11"/>
    </row>
    <row r="86" spans="2:18" ht="12.75" customHeight="1" x14ac:dyDescent="0.2">
      <c r="B86" s="27" t="s">
        <v>172</v>
      </c>
      <c r="C86" s="25" t="s">
        <v>173</v>
      </c>
      <c r="D86" s="41"/>
      <c r="E86" s="38">
        <f t="shared" si="5"/>
        <v>0</v>
      </c>
      <c r="F86" s="38">
        <f t="shared" si="6"/>
        <v>0</v>
      </c>
      <c r="G86" s="37">
        <f>PRODUCTOS[[#This Row],[CONTEO INICIAL]]+E86-F86</f>
        <v>0</v>
      </c>
      <c r="J86" s="6"/>
      <c r="K86" s="19" t="str">
        <f t="shared" si="4"/>
        <v/>
      </c>
      <c r="L86" s="3"/>
      <c r="M86" s="14"/>
      <c r="O86" s="6"/>
      <c r="P86" s="19" t="str">
        <f t="shared" si="7"/>
        <v/>
      </c>
      <c r="Q86" s="3"/>
      <c r="R86" s="14"/>
    </row>
    <row r="87" spans="2:18" ht="12.75" customHeight="1" x14ac:dyDescent="0.2">
      <c r="B87" s="27" t="s">
        <v>174</v>
      </c>
      <c r="C87" s="25" t="s">
        <v>175</v>
      </c>
      <c r="D87" s="41"/>
      <c r="E87" s="38">
        <f t="shared" si="5"/>
        <v>0</v>
      </c>
      <c r="F87" s="38">
        <f t="shared" si="6"/>
        <v>0</v>
      </c>
      <c r="G87" s="37">
        <f>PRODUCTOS[[#This Row],[CONTEO INICIAL]]+E87-F87</f>
        <v>0</v>
      </c>
      <c r="J87" s="9"/>
      <c r="K87" s="19" t="str">
        <f t="shared" si="4"/>
        <v/>
      </c>
      <c r="L87" s="8"/>
      <c r="M87" s="11"/>
      <c r="O87" s="9"/>
      <c r="P87" s="19" t="str">
        <f t="shared" si="7"/>
        <v/>
      </c>
      <c r="Q87" s="8"/>
      <c r="R87" s="11"/>
    </row>
    <row r="88" spans="2:18" ht="12.75" customHeight="1" x14ac:dyDescent="0.2">
      <c r="B88" s="27" t="s">
        <v>176</v>
      </c>
      <c r="C88" s="25" t="s">
        <v>177</v>
      </c>
      <c r="D88" s="41"/>
      <c r="E88" s="38">
        <f t="shared" si="5"/>
        <v>0</v>
      </c>
      <c r="F88" s="38">
        <f t="shared" si="6"/>
        <v>0</v>
      </c>
      <c r="G88" s="37">
        <f>PRODUCTOS[[#This Row],[CONTEO INICIAL]]+E88-F88</f>
        <v>0</v>
      </c>
      <c r="J88" s="6"/>
      <c r="K88" s="19" t="str">
        <f t="shared" si="4"/>
        <v/>
      </c>
      <c r="L88" s="3"/>
      <c r="M88" s="14"/>
      <c r="O88" s="6"/>
      <c r="P88" s="19" t="str">
        <f t="shared" si="7"/>
        <v/>
      </c>
      <c r="Q88" s="3"/>
      <c r="R88" s="14"/>
    </row>
    <row r="89" spans="2:18" ht="12.75" customHeight="1" x14ac:dyDescent="0.2">
      <c r="B89" s="27" t="s">
        <v>178</v>
      </c>
      <c r="C89" s="25" t="s">
        <v>179</v>
      </c>
      <c r="D89" s="41"/>
      <c r="E89" s="38">
        <f t="shared" si="5"/>
        <v>0</v>
      </c>
      <c r="F89" s="38">
        <f t="shared" si="6"/>
        <v>0</v>
      </c>
      <c r="G89" s="37">
        <f>PRODUCTOS[[#This Row],[CONTEO INICIAL]]+E89-F89</f>
        <v>0</v>
      </c>
      <c r="J89" s="9"/>
      <c r="K89" s="19" t="str">
        <f t="shared" si="4"/>
        <v/>
      </c>
      <c r="L89" s="8"/>
      <c r="M89" s="11"/>
      <c r="O89" s="9"/>
      <c r="P89" s="19" t="str">
        <f t="shared" si="7"/>
        <v/>
      </c>
      <c r="Q89" s="8"/>
      <c r="R89" s="11"/>
    </row>
    <row r="90" spans="2:18" ht="12.75" customHeight="1" x14ac:dyDescent="0.2">
      <c r="B90" s="27" t="s">
        <v>180</v>
      </c>
      <c r="C90" s="25" t="s">
        <v>181</v>
      </c>
      <c r="D90" s="41"/>
      <c r="E90" s="38">
        <f t="shared" si="5"/>
        <v>0</v>
      </c>
      <c r="F90" s="38">
        <f t="shared" si="6"/>
        <v>0</v>
      </c>
      <c r="G90" s="37">
        <f>PRODUCTOS[[#This Row],[CONTEO INICIAL]]+E90-F90</f>
        <v>0</v>
      </c>
      <c r="J90" s="6"/>
      <c r="K90" s="19" t="str">
        <f t="shared" si="4"/>
        <v/>
      </c>
      <c r="L90" s="3"/>
      <c r="M90" s="14"/>
      <c r="O90" s="6"/>
      <c r="P90" s="19" t="str">
        <f t="shared" si="7"/>
        <v/>
      </c>
      <c r="Q90" s="3"/>
      <c r="R90" s="14"/>
    </row>
    <row r="91" spans="2:18" ht="12.75" customHeight="1" x14ac:dyDescent="0.2">
      <c r="B91" s="73" t="s">
        <v>182</v>
      </c>
      <c r="C91" s="74" t="s">
        <v>183</v>
      </c>
      <c r="D91" s="75">
        <v>4</v>
      </c>
      <c r="E91" s="76">
        <f t="shared" si="5"/>
        <v>0</v>
      </c>
      <c r="F91" s="76">
        <f t="shared" si="6"/>
        <v>0</v>
      </c>
      <c r="G91" s="77">
        <f>PRODUCTOS[[#This Row],[CONTEO INICIAL]]+E91-F91</f>
        <v>4</v>
      </c>
      <c r="J91" s="9"/>
      <c r="K91" s="19" t="str">
        <f t="shared" si="4"/>
        <v/>
      </c>
      <c r="L91" s="8"/>
      <c r="M91" s="11"/>
      <c r="O91" s="9"/>
      <c r="P91" s="19" t="str">
        <f t="shared" si="7"/>
        <v/>
      </c>
      <c r="Q91" s="8"/>
      <c r="R91" s="11"/>
    </row>
    <row r="92" spans="2:18" ht="12.75" customHeight="1" x14ac:dyDescent="0.2">
      <c r="B92" s="27" t="s">
        <v>184</v>
      </c>
      <c r="C92" s="25" t="s">
        <v>185</v>
      </c>
      <c r="D92" s="41"/>
      <c r="E92" s="38">
        <f t="shared" si="5"/>
        <v>0</v>
      </c>
      <c r="F92" s="38">
        <f t="shared" si="6"/>
        <v>0</v>
      </c>
      <c r="G92" s="37">
        <f>PRODUCTOS[[#This Row],[CONTEO INICIAL]]+E92-F92</f>
        <v>0</v>
      </c>
      <c r="J92" s="6"/>
      <c r="K92" s="19" t="str">
        <f t="shared" si="4"/>
        <v/>
      </c>
      <c r="L92" s="3"/>
      <c r="M92" s="14"/>
      <c r="O92" s="6"/>
      <c r="P92" s="19" t="str">
        <f t="shared" si="7"/>
        <v/>
      </c>
      <c r="Q92" s="3"/>
      <c r="R92" s="14"/>
    </row>
    <row r="93" spans="2:18" ht="12.75" customHeight="1" x14ac:dyDescent="0.2">
      <c r="B93" s="27" t="s">
        <v>186</v>
      </c>
      <c r="C93" s="25" t="s">
        <v>187</v>
      </c>
      <c r="D93" s="41"/>
      <c r="E93" s="38">
        <f t="shared" si="5"/>
        <v>0</v>
      </c>
      <c r="F93" s="38">
        <f t="shared" si="6"/>
        <v>0</v>
      </c>
      <c r="G93" s="37">
        <f>PRODUCTOS[[#This Row],[CONTEO INICIAL]]+E93-F93</f>
        <v>0</v>
      </c>
      <c r="J93" s="9"/>
      <c r="K93" s="19" t="str">
        <f t="shared" si="4"/>
        <v/>
      </c>
      <c r="L93" s="8"/>
      <c r="M93" s="11"/>
      <c r="O93" s="9"/>
      <c r="P93" s="19" t="str">
        <f t="shared" si="7"/>
        <v/>
      </c>
      <c r="Q93" s="8"/>
      <c r="R93" s="11"/>
    </row>
    <row r="94" spans="2:18" ht="12.75" customHeight="1" x14ac:dyDescent="0.2">
      <c r="B94" s="27" t="s">
        <v>188</v>
      </c>
      <c r="C94" s="25" t="s">
        <v>189</v>
      </c>
      <c r="D94" s="41"/>
      <c r="E94" s="38">
        <f t="shared" si="5"/>
        <v>0</v>
      </c>
      <c r="F94" s="38">
        <f t="shared" si="6"/>
        <v>0</v>
      </c>
      <c r="G94" s="37">
        <f>PRODUCTOS[[#This Row],[CONTEO INICIAL]]+E94-F94</f>
        <v>0</v>
      </c>
      <c r="J94" s="6"/>
      <c r="K94" s="19" t="str">
        <f t="shared" si="4"/>
        <v/>
      </c>
      <c r="L94" s="3"/>
      <c r="M94" s="14"/>
      <c r="O94" s="6"/>
      <c r="P94" s="19" t="str">
        <f t="shared" si="7"/>
        <v/>
      </c>
      <c r="Q94" s="3"/>
      <c r="R94" s="14"/>
    </row>
    <row r="95" spans="2:18" ht="12.75" customHeight="1" x14ac:dyDescent="0.2">
      <c r="B95" s="27" t="s">
        <v>190</v>
      </c>
      <c r="C95" s="25" t="s">
        <v>191</v>
      </c>
      <c r="D95" s="41"/>
      <c r="E95" s="38">
        <f t="shared" si="5"/>
        <v>0</v>
      </c>
      <c r="F95" s="38">
        <f t="shared" si="6"/>
        <v>0</v>
      </c>
      <c r="G95" s="37">
        <f>PRODUCTOS[[#This Row],[CONTEO INICIAL]]+E95-F95</f>
        <v>0</v>
      </c>
      <c r="J95" s="9"/>
      <c r="K95" s="19" t="str">
        <f t="shared" si="4"/>
        <v/>
      </c>
      <c r="L95" s="8"/>
      <c r="M95" s="11"/>
      <c r="O95" s="9"/>
      <c r="P95" s="19" t="str">
        <f t="shared" si="7"/>
        <v/>
      </c>
      <c r="Q95" s="8"/>
      <c r="R95" s="11"/>
    </row>
    <row r="96" spans="2:18" ht="12.75" customHeight="1" x14ac:dyDescent="0.2">
      <c r="B96" s="27" t="s">
        <v>192</v>
      </c>
      <c r="C96" s="25" t="s">
        <v>193</v>
      </c>
      <c r="D96" s="41"/>
      <c r="E96" s="38">
        <f t="shared" si="5"/>
        <v>0</v>
      </c>
      <c r="F96" s="38">
        <f t="shared" si="6"/>
        <v>0</v>
      </c>
      <c r="G96" s="37">
        <f>PRODUCTOS[[#This Row],[CONTEO INICIAL]]+E96-F96</f>
        <v>0</v>
      </c>
      <c r="J96" s="6"/>
      <c r="K96" s="19" t="str">
        <f t="shared" si="4"/>
        <v/>
      </c>
      <c r="L96" s="3"/>
      <c r="M96" s="14"/>
      <c r="O96" s="6"/>
      <c r="P96" s="19" t="str">
        <f t="shared" si="7"/>
        <v/>
      </c>
      <c r="Q96" s="3"/>
      <c r="R96" s="14"/>
    </row>
    <row r="97" spans="2:18" ht="12.75" customHeight="1" x14ac:dyDescent="0.2">
      <c r="B97" s="27" t="s">
        <v>194</v>
      </c>
      <c r="C97" s="25" t="s">
        <v>195</v>
      </c>
      <c r="D97" s="41"/>
      <c r="E97" s="38">
        <f t="shared" si="5"/>
        <v>0</v>
      </c>
      <c r="F97" s="38">
        <f t="shared" si="6"/>
        <v>0</v>
      </c>
      <c r="G97" s="37">
        <f>PRODUCTOS[[#This Row],[CONTEO INICIAL]]+E97-F97</f>
        <v>0</v>
      </c>
      <c r="J97" s="9"/>
      <c r="K97" s="19" t="str">
        <f t="shared" si="4"/>
        <v/>
      </c>
      <c r="L97" s="8"/>
      <c r="M97" s="11"/>
      <c r="O97" s="9"/>
      <c r="P97" s="19" t="str">
        <f t="shared" si="7"/>
        <v/>
      </c>
      <c r="Q97" s="8"/>
      <c r="R97" s="11"/>
    </row>
    <row r="98" spans="2:18" ht="12.75" customHeight="1" x14ac:dyDescent="0.2">
      <c r="B98" s="27" t="s">
        <v>196</v>
      </c>
      <c r="C98" s="25" t="s">
        <v>197</v>
      </c>
      <c r="D98" s="41"/>
      <c r="E98" s="38">
        <f t="shared" si="5"/>
        <v>0</v>
      </c>
      <c r="F98" s="38">
        <f t="shared" si="6"/>
        <v>0</v>
      </c>
      <c r="G98" s="37">
        <f>PRODUCTOS[[#This Row],[CONTEO INICIAL]]+E98-F98</f>
        <v>0</v>
      </c>
      <c r="J98" s="6"/>
      <c r="K98" s="19" t="str">
        <f t="shared" si="4"/>
        <v/>
      </c>
      <c r="L98" s="3"/>
      <c r="M98" s="14"/>
      <c r="O98" s="6"/>
      <c r="P98" s="19" t="str">
        <f t="shared" si="7"/>
        <v/>
      </c>
      <c r="Q98" s="3"/>
      <c r="R98" s="14"/>
    </row>
    <row r="99" spans="2:18" ht="12.75" customHeight="1" x14ac:dyDescent="0.2">
      <c r="B99" s="27" t="s">
        <v>198</v>
      </c>
      <c r="C99" s="25" t="s">
        <v>199</v>
      </c>
      <c r="D99" s="41"/>
      <c r="E99" s="38">
        <f t="shared" si="5"/>
        <v>0</v>
      </c>
      <c r="F99" s="38">
        <f t="shared" si="6"/>
        <v>0</v>
      </c>
      <c r="G99" s="37">
        <f>PRODUCTOS[[#This Row],[CONTEO INICIAL]]+E99-F99</f>
        <v>0</v>
      </c>
      <c r="J99" s="20"/>
      <c r="K99" s="19" t="str">
        <f t="shared" si="4"/>
        <v/>
      </c>
      <c r="L99" s="21"/>
      <c r="M99" s="22"/>
      <c r="O99" s="20"/>
      <c r="P99" s="19" t="str">
        <f t="shared" si="7"/>
        <v/>
      </c>
      <c r="Q99" s="21"/>
      <c r="R99" s="22"/>
    </row>
    <row r="100" spans="2:18" ht="12.75" customHeight="1" x14ac:dyDescent="0.2">
      <c r="B100" s="60" t="s">
        <v>200</v>
      </c>
      <c r="C100" s="61" t="s">
        <v>201</v>
      </c>
      <c r="D100" s="59">
        <v>38</v>
      </c>
      <c r="E100" s="62">
        <f t="shared" si="5"/>
        <v>0</v>
      </c>
      <c r="F100" s="62">
        <f t="shared" si="6"/>
        <v>0</v>
      </c>
      <c r="G100" s="63">
        <f>PRODUCTOS[[#This Row],[CONTEO INICIAL]]+E100-F100</f>
        <v>38</v>
      </c>
      <c r="J100" s="15"/>
      <c r="K100" s="19" t="str">
        <f t="shared" si="4"/>
        <v/>
      </c>
      <c r="L100" s="15"/>
      <c r="M100" s="15"/>
      <c r="O100" s="15"/>
      <c r="P100" s="19" t="str">
        <f t="shared" si="7"/>
        <v/>
      </c>
      <c r="Q100" s="15"/>
      <c r="R100" s="15"/>
    </row>
    <row r="101" spans="2:18" ht="15.75" customHeight="1" x14ac:dyDescent="0.2">
      <c r="B101" s="27" t="s">
        <v>202</v>
      </c>
      <c r="C101" s="25" t="s">
        <v>203</v>
      </c>
      <c r="D101" s="41"/>
      <c r="E101" s="38">
        <f t="shared" si="5"/>
        <v>0</v>
      </c>
      <c r="F101" s="38">
        <f t="shared" si="6"/>
        <v>0</v>
      </c>
      <c r="G101" s="37">
        <f>PRODUCTOS[[#This Row],[CONTEO INICIAL]]+E101-F101</f>
        <v>0</v>
      </c>
      <c r="K101" s="19" t="str">
        <f t="shared" si="4"/>
        <v/>
      </c>
      <c r="P101" s="19" t="str">
        <f t="shared" si="7"/>
        <v/>
      </c>
    </row>
    <row r="102" spans="2:18" ht="15.75" customHeight="1" x14ac:dyDescent="0.2">
      <c r="B102" s="27" t="s">
        <v>204</v>
      </c>
      <c r="C102" s="25" t="s">
        <v>205</v>
      </c>
      <c r="D102" s="41"/>
      <c r="E102" s="38">
        <f t="shared" si="5"/>
        <v>0</v>
      </c>
      <c r="F102" s="38">
        <f t="shared" si="6"/>
        <v>0</v>
      </c>
      <c r="G102" s="37">
        <f>PRODUCTOS[[#This Row],[CONTEO INICIAL]]+E102-F102</f>
        <v>0</v>
      </c>
      <c r="K102" s="19" t="str">
        <f t="shared" si="4"/>
        <v/>
      </c>
      <c r="P102" s="19" t="str">
        <f t="shared" si="7"/>
        <v/>
      </c>
    </row>
    <row r="103" spans="2:18" ht="15.75" customHeight="1" x14ac:dyDescent="0.2">
      <c r="B103" s="28" t="s">
        <v>569</v>
      </c>
      <c r="C103" s="25" t="s">
        <v>13</v>
      </c>
      <c r="D103" s="40">
        <v>0</v>
      </c>
      <c r="E103" s="38">
        <f t="shared" si="5"/>
        <v>0</v>
      </c>
      <c r="F103" s="38">
        <f t="shared" si="6"/>
        <v>0</v>
      </c>
      <c r="G103" s="37">
        <f>PRODUCTOS[[#This Row],[CONTEO INICIAL]]+E103-F103</f>
        <v>0</v>
      </c>
      <c r="K103" s="19" t="str">
        <f t="shared" si="4"/>
        <v/>
      </c>
      <c r="P103" s="19" t="str">
        <f t="shared" si="7"/>
        <v/>
      </c>
    </row>
    <row r="104" spans="2:18" ht="15.75" customHeight="1" x14ac:dyDescent="0.2">
      <c r="B104" s="27" t="s">
        <v>214</v>
      </c>
      <c r="C104" s="25" t="s">
        <v>215</v>
      </c>
      <c r="D104" s="41"/>
      <c r="E104" s="38">
        <f t="shared" si="5"/>
        <v>0</v>
      </c>
      <c r="F104" s="38">
        <f t="shared" si="6"/>
        <v>0</v>
      </c>
      <c r="G104" s="37">
        <f>PRODUCTOS[[#This Row],[CONTEO INICIAL]]+E104-F104</f>
        <v>0</v>
      </c>
      <c r="K104" s="19" t="str">
        <f t="shared" si="4"/>
        <v/>
      </c>
      <c r="P104" s="19" t="str">
        <f t="shared" si="7"/>
        <v/>
      </c>
    </row>
    <row r="105" spans="2:18" ht="15.75" customHeight="1" x14ac:dyDescent="0.2">
      <c r="B105" s="44" t="s">
        <v>216</v>
      </c>
      <c r="C105" s="45" t="s">
        <v>217</v>
      </c>
      <c r="D105" s="46">
        <v>158</v>
      </c>
      <c r="E105" s="47">
        <f t="shared" si="5"/>
        <v>0</v>
      </c>
      <c r="F105" s="47">
        <f t="shared" si="6"/>
        <v>0</v>
      </c>
      <c r="G105" s="48">
        <f>PRODUCTOS[[#This Row],[CONTEO INICIAL]]+E105-F105</f>
        <v>158</v>
      </c>
      <c r="K105" s="19" t="str">
        <f t="shared" si="4"/>
        <v/>
      </c>
      <c r="P105" s="19" t="str">
        <f t="shared" si="7"/>
        <v/>
      </c>
    </row>
    <row r="106" spans="2:18" ht="15.75" customHeight="1" x14ac:dyDescent="0.2">
      <c r="B106" s="44" t="s">
        <v>218</v>
      </c>
      <c r="C106" s="45" t="s">
        <v>219</v>
      </c>
      <c r="D106" s="46">
        <v>308</v>
      </c>
      <c r="E106" s="47">
        <f t="shared" si="5"/>
        <v>0</v>
      </c>
      <c r="F106" s="47">
        <f t="shared" si="6"/>
        <v>0</v>
      </c>
      <c r="G106" s="48">
        <f>PRODUCTOS[[#This Row],[CONTEO INICIAL]]+E106-F106</f>
        <v>308</v>
      </c>
      <c r="K106" s="19" t="str">
        <f t="shared" si="4"/>
        <v/>
      </c>
      <c r="P106" s="19" t="str">
        <f t="shared" si="7"/>
        <v/>
      </c>
    </row>
    <row r="107" spans="2:18" ht="15.75" customHeight="1" x14ac:dyDescent="0.2">
      <c r="B107" s="44" t="s">
        <v>220</v>
      </c>
      <c r="C107" s="45" t="s">
        <v>221</v>
      </c>
      <c r="D107" s="46">
        <v>50</v>
      </c>
      <c r="E107" s="47">
        <f t="shared" si="5"/>
        <v>0</v>
      </c>
      <c r="F107" s="47">
        <f t="shared" si="6"/>
        <v>0</v>
      </c>
      <c r="G107" s="48">
        <f>PRODUCTOS[[#This Row],[CONTEO INICIAL]]+E107-F107</f>
        <v>50</v>
      </c>
      <c r="K107" s="19" t="str">
        <f t="shared" si="4"/>
        <v/>
      </c>
      <c r="P107" s="19" t="str">
        <f t="shared" si="7"/>
        <v/>
      </c>
    </row>
    <row r="108" spans="2:18" ht="15.75" customHeight="1" x14ac:dyDescent="0.2">
      <c r="B108" s="27" t="s">
        <v>222</v>
      </c>
      <c r="C108" s="25" t="s">
        <v>223</v>
      </c>
      <c r="D108" s="41"/>
      <c r="E108" s="38">
        <f t="shared" si="5"/>
        <v>0</v>
      </c>
      <c r="F108" s="38">
        <f t="shared" si="6"/>
        <v>0</v>
      </c>
      <c r="G108" s="37">
        <f>PRODUCTOS[[#This Row],[CONTEO INICIAL]]+E108-F108</f>
        <v>0</v>
      </c>
      <c r="K108" s="19" t="str">
        <f t="shared" si="4"/>
        <v/>
      </c>
      <c r="P108" s="19" t="str">
        <f t="shared" si="7"/>
        <v/>
      </c>
    </row>
    <row r="109" spans="2:18" ht="15.75" customHeight="1" x14ac:dyDescent="0.2">
      <c r="B109" s="73" t="s">
        <v>224</v>
      </c>
      <c r="C109" s="74" t="s">
        <v>225</v>
      </c>
      <c r="D109" s="75"/>
      <c r="E109" s="76">
        <f t="shared" si="5"/>
        <v>0</v>
      </c>
      <c r="F109" s="76">
        <f t="shared" si="6"/>
        <v>0</v>
      </c>
      <c r="G109" s="77">
        <f>PRODUCTOS[[#This Row],[CONTEO INICIAL]]+E109-F109</f>
        <v>0</v>
      </c>
      <c r="K109" s="19" t="str">
        <f t="shared" si="4"/>
        <v/>
      </c>
      <c r="P109" s="19" t="str">
        <f t="shared" si="7"/>
        <v/>
      </c>
    </row>
    <row r="110" spans="2:18" ht="15.75" customHeight="1" x14ac:dyDescent="0.2">
      <c r="B110" s="27" t="s">
        <v>226</v>
      </c>
      <c r="C110" s="25" t="s">
        <v>227</v>
      </c>
      <c r="D110" s="41"/>
      <c r="E110" s="38">
        <f t="shared" si="5"/>
        <v>0</v>
      </c>
      <c r="F110" s="38">
        <f t="shared" si="6"/>
        <v>0</v>
      </c>
      <c r="G110" s="37">
        <f>PRODUCTOS[[#This Row],[CONTEO INICIAL]]+E110-F110</f>
        <v>0</v>
      </c>
      <c r="K110" s="19" t="str">
        <f t="shared" si="4"/>
        <v/>
      </c>
      <c r="P110" s="19" t="str">
        <f t="shared" si="7"/>
        <v/>
      </c>
    </row>
    <row r="111" spans="2:18" ht="15.75" customHeight="1" x14ac:dyDescent="0.2">
      <c r="B111" s="44" t="s">
        <v>228</v>
      </c>
      <c r="C111" s="45" t="s">
        <v>229</v>
      </c>
      <c r="D111" s="46">
        <v>143</v>
      </c>
      <c r="E111" s="47">
        <f t="shared" si="5"/>
        <v>0</v>
      </c>
      <c r="F111" s="47">
        <f t="shared" si="6"/>
        <v>0</v>
      </c>
      <c r="G111" s="48">
        <f>PRODUCTOS[[#This Row],[CONTEO INICIAL]]+E111-F111</f>
        <v>143</v>
      </c>
      <c r="K111" s="19" t="str">
        <f t="shared" si="4"/>
        <v/>
      </c>
      <c r="P111" s="19" t="str">
        <f t="shared" si="7"/>
        <v/>
      </c>
    </row>
    <row r="112" spans="2:18" ht="15.75" customHeight="1" x14ac:dyDescent="0.2">
      <c r="B112" s="27" t="s">
        <v>230</v>
      </c>
      <c r="C112" s="25" t="s">
        <v>231</v>
      </c>
      <c r="D112" s="41"/>
      <c r="E112" s="38">
        <f t="shared" si="5"/>
        <v>0</v>
      </c>
      <c r="F112" s="38">
        <f t="shared" si="6"/>
        <v>0</v>
      </c>
      <c r="G112" s="37">
        <f>PRODUCTOS[[#This Row],[CONTEO INICIAL]]+E112-F112</f>
        <v>0</v>
      </c>
      <c r="K112" s="19" t="str">
        <f t="shared" si="4"/>
        <v/>
      </c>
      <c r="P112" s="19" t="str">
        <f t="shared" si="7"/>
        <v/>
      </c>
    </row>
    <row r="113" spans="2:16" ht="15.75" customHeight="1" x14ac:dyDescent="0.2">
      <c r="B113" s="104" t="s">
        <v>206</v>
      </c>
      <c r="C113" s="61" t="s">
        <v>207</v>
      </c>
      <c r="D113" s="59">
        <v>13</v>
      </c>
      <c r="E113" s="62">
        <f t="shared" si="5"/>
        <v>0</v>
      </c>
      <c r="F113" s="62">
        <f t="shared" si="6"/>
        <v>28</v>
      </c>
      <c r="G113" s="63">
        <f>PRODUCTOS[[#This Row],[CONTEO INICIAL]]+E113-F113</f>
        <v>-15</v>
      </c>
      <c r="H113" s="65" t="s">
        <v>579</v>
      </c>
      <c r="K113" s="19" t="str">
        <f t="shared" si="4"/>
        <v/>
      </c>
      <c r="P113" s="19" t="str">
        <f t="shared" si="7"/>
        <v/>
      </c>
    </row>
    <row r="114" spans="2:16" ht="15.75" customHeight="1" x14ac:dyDescent="0.2">
      <c r="B114" s="27" t="s">
        <v>232</v>
      </c>
      <c r="C114" s="25" t="s">
        <v>233</v>
      </c>
      <c r="D114" s="41"/>
      <c r="E114" s="38">
        <f t="shared" si="5"/>
        <v>0</v>
      </c>
      <c r="F114" s="38">
        <f t="shared" si="6"/>
        <v>0</v>
      </c>
      <c r="G114" s="37">
        <f>PRODUCTOS[[#This Row],[CONTEO INICIAL]]+E114-F114</f>
        <v>0</v>
      </c>
      <c r="K114" s="19" t="str">
        <f t="shared" si="4"/>
        <v/>
      </c>
      <c r="P114" s="19" t="str">
        <f t="shared" si="7"/>
        <v/>
      </c>
    </row>
    <row r="115" spans="2:16" ht="15.75" customHeight="1" x14ac:dyDescent="0.2">
      <c r="B115" s="44" t="s">
        <v>234</v>
      </c>
      <c r="C115" s="45" t="s">
        <v>235</v>
      </c>
      <c r="D115" s="46">
        <v>89</v>
      </c>
      <c r="E115" s="47">
        <f t="shared" si="5"/>
        <v>0</v>
      </c>
      <c r="F115" s="47">
        <f t="shared" si="6"/>
        <v>0</v>
      </c>
      <c r="G115" s="48">
        <f>PRODUCTOS[[#This Row],[CONTEO INICIAL]]+E115-F115</f>
        <v>89</v>
      </c>
      <c r="K115" s="19" t="str">
        <f t="shared" si="4"/>
        <v/>
      </c>
      <c r="P115" s="19" t="str">
        <f t="shared" si="7"/>
        <v/>
      </c>
    </row>
    <row r="116" spans="2:16" ht="15.75" customHeight="1" x14ac:dyDescent="0.2">
      <c r="B116" s="27" t="s">
        <v>236</v>
      </c>
      <c r="C116" s="25" t="s">
        <v>237</v>
      </c>
      <c r="D116" s="41"/>
      <c r="E116" s="38">
        <f t="shared" si="5"/>
        <v>0</v>
      </c>
      <c r="F116" s="38">
        <f t="shared" si="6"/>
        <v>0</v>
      </c>
      <c r="G116" s="37">
        <f>PRODUCTOS[[#This Row],[CONTEO INICIAL]]+E116-F116</f>
        <v>0</v>
      </c>
      <c r="K116" s="19" t="str">
        <f t="shared" si="4"/>
        <v/>
      </c>
      <c r="P116" s="19" t="str">
        <f t="shared" si="7"/>
        <v/>
      </c>
    </row>
    <row r="117" spans="2:16" ht="15.75" customHeight="1" x14ac:dyDescent="0.2">
      <c r="B117" s="44" t="s">
        <v>238</v>
      </c>
      <c r="C117" s="45" t="s">
        <v>239</v>
      </c>
      <c r="D117" s="46">
        <v>69</v>
      </c>
      <c r="E117" s="47">
        <f t="shared" si="5"/>
        <v>0</v>
      </c>
      <c r="F117" s="47">
        <f t="shared" si="6"/>
        <v>0</v>
      </c>
      <c r="G117" s="48">
        <f>PRODUCTOS[[#This Row],[CONTEO INICIAL]]+E117-F117</f>
        <v>69</v>
      </c>
      <c r="K117" s="19" t="str">
        <f t="shared" si="4"/>
        <v/>
      </c>
      <c r="P117" s="19" t="str">
        <f t="shared" si="7"/>
        <v/>
      </c>
    </row>
    <row r="118" spans="2:16" ht="15.75" customHeight="1" x14ac:dyDescent="0.2">
      <c r="B118" s="44" t="s">
        <v>240</v>
      </c>
      <c r="C118" s="45" t="s">
        <v>241</v>
      </c>
      <c r="D118" s="46">
        <v>180</v>
      </c>
      <c r="E118" s="47">
        <f t="shared" si="5"/>
        <v>0</v>
      </c>
      <c r="F118" s="47">
        <f t="shared" si="6"/>
        <v>0</v>
      </c>
      <c r="G118" s="48">
        <f>PRODUCTOS[[#This Row],[CONTEO INICIAL]]+E118-F118</f>
        <v>180</v>
      </c>
      <c r="K118" s="19" t="str">
        <f t="shared" si="4"/>
        <v/>
      </c>
      <c r="P118" s="19" t="str">
        <f t="shared" si="7"/>
        <v/>
      </c>
    </row>
    <row r="119" spans="2:16" ht="15.75" customHeight="1" x14ac:dyDescent="0.2">
      <c r="B119" s="27" t="s">
        <v>242</v>
      </c>
      <c r="C119" s="25" t="s">
        <v>243</v>
      </c>
      <c r="D119" s="41"/>
      <c r="E119" s="38">
        <f t="shared" si="5"/>
        <v>0</v>
      </c>
      <c r="F119" s="38">
        <f t="shared" si="6"/>
        <v>0</v>
      </c>
      <c r="G119" s="37">
        <f>PRODUCTOS[[#This Row],[CONTEO INICIAL]]+E119-F119</f>
        <v>0</v>
      </c>
      <c r="K119" s="19" t="str">
        <f t="shared" si="4"/>
        <v/>
      </c>
      <c r="P119" s="19" t="str">
        <f t="shared" si="7"/>
        <v/>
      </c>
    </row>
    <row r="120" spans="2:16" ht="15.75" customHeight="1" x14ac:dyDescent="0.2">
      <c r="B120" s="104" t="s">
        <v>208</v>
      </c>
      <c r="C120" s="61" t="s">
        <v>209</v>
      </c>
      <c r="D120" s="59">
        <v>54</v>
      </c>
      <c r="E120" s="62">
        <f t="shared" si="5"/>
        <v>0</v>
      </c>
      <c r="F120" s="62">
        <f t="shared" si="6"/>
        <v>0</v>
      </c>
      <c r="G120" s="63">
        <f>PRODUCTOS[[#This Row],[CONTEO INICIAL]]+E120-F120</f>
        <v>54</v>
      </c>
      <c r="K120" s="19" t="str">
        <f t="shared" si="4"/>
        <v/>
      </c>
      <c r="P120" s="19" t="str">
        <f t="shared" si="7"/>
        <v/>
      </c>
    </row>
    <row r="121" spans="2:16" ht="15.75" customHeight="1" x14ac:dyDescent="0.2">
      <c r="B121" s="44" t="s">
        <v>244</v>
      </c>
      <c r="C121" s="45" t="s">
        <v>245</v>
      </c>
      <c r="D121" s="46">
        <v>99</v>
      </c>
      <c r="E121" s="47">
        <f t="shared" si="5"/>
        <v>0</v>
      </c>
      <c r="F121" s="47">
        <f t="shared" si="6"/>
        <v>0</v>
      </c>
      <c r="G121" s="48">
        <f>PRODUCTOS[[#This Row],[CONTEO INICIAL]]+E121-F121</f>
        <v>99</v>
      </c>
      <c r="K121" s="19" t="str">
        <f t="shared" si="4"/>
        <v/>
      </c>
      <c r="P121" s="19" t="str">
        <f t="shared" si="7"/>
        <v/>
      </c>
    </row>
    <row r="122" spans="2:16" ht="15.75" customHeight="1" x14ac:dyDescent="0.2">
      <c r="B122" s="104" t="s">
        <v>210</v>
      </c>
      <c r="C122" s="61" t="s">
        <v>211</v>
      </c>
      <c r="D122" s="59">
        <v>39</v>
      </c>
      <c r="E122" s="62">
        <f t="shared" si="5"/>
        <v>0</v>
      </c>
      <c r="F122" s="62">
        <f t="shared" si="6"/>
        <v>0</v>
      </c>
      <c r="G122" s="63">
        <f>PRODUCTOS[[#This Row],[CONTEO INICIAL]]+E122-F122</f>
        <v>39</v>
      </c>
      <c r="K122" s="19" t="str">
        <f t="shared" si="4"/>
        <v/>
      </c>
      <c r="P122" s="19" t="str">
        <f t="shared" si="7"/>
        <v/>
      </c>
    </row>
    <row r="123" spans="2:16" ht="15.75" customHeight="1" x14ac:dyDescent="0.2">
      <c r="B123" s="27" t="s">
        <v>246</v>
      </c>
      <c r="C123" s="25" t="s">
        <v>247</v>
      </c>
      <c r="D123" s="41"/>
      <c r="E123" s="38">
        <f t="shared" si="5"/>
        <v>0</v>
      </c>
      <c r="F123" s="38">
        <f t="shared" si="6"/>
        <v>0</v>
      </c>
      <c r="G123" s="37">
        <f>PRODUCTOS[[#This Row],[CONTEO INICIAL]]+E123-F123</f>
        <v>0</v>
      </c>
      <c r="K123" s="19" t="str">
        <f t="shared" si="4"/>
        <v/>
      </c>
      <c r="P123" s="19" t="str">
        <f t="shared" si="7"/>
        <v/>
      </c>
    </row>
    <row r="124" spans="2:16" ht="15.75" customHeight="1" x14ac:dyDescent="0.2">
      <c r="B124" s="27" t="s">
        <v>248</v>
      </c>
      <c r="C124" s="25" t="s">
        <v>249</v>
      </c>
      <c r="D124" s="41"/>
      <c r="E124" s="38">
        <f t="shared" si="5"/>
        <v>0</v>
      </c>
      <c r="F124" s="38">
        <f t="shared" si="6"/>
        <v>0</v>
      </c>
      <c r="G124" s="37">
        <f>PRODUCTOS[[#This Row],[CONTEO INICIAL]]+E124-F124</f>
        <v>0</v>
      </c>
      <c r="K124" s="19" t="str">
        <f t="shared" si="4"/>
        <v/>
      </c>
      <c r="P124" s="19" t="str">
        <f t="shared" si="7"/>
        <v/>
      </c>
    </row>
    <row r="125" spans="2:16" ht="15.75" customHeight="1" x14ac:dyDescent="0.2">
      <c r="B125" s="104" t="s">
        <v>250</v>
      </c>
      <c r="C125" s="45" t="s">
        <v>251</v>
      </c>
      <c r="D125" s="46">
        <v>99</v>
      </c>
      <c r="E125" s="47">
        <f t="shared" si="5"/>
        <v>0</v>
      </c>
      <c r="F125" s="47">
        <f t="shared" si="6"/>
        <v>0</v>
      </c>
      <c r="G125" s="48">
        <f>PRODUCTOS[[#This Row],[CONTEO INICIAL]]+E125-F125</f>
        <v>99</v>
      </c>
      <c r="K125" s="19" t="str">
        <f t="shared" si="4"/>
        <v/>
      </c>
      <c r="P125" s="19" t="str">
        <f t="shared" si="7"/>
        <v/>
      </c>
    </row>
    <row r="126" spans="2:16" ht="15.75" customHeight="1" x14ac:dyDescent="0.2">
      <c r="B126" s="104" t="s">
        <v>252</v>
      </c>
      <c r="C126" s="61" t="s">
        <v>253</v>
      </c>
      <c r="D126" s="59">
        <v>90</v>
      </c>
      <c r="E126" s="62">
        <f t="shared" si="5"/>
        <v>0</v>
      </c>
      <c r="F126" s="62">
        <f t="shared" si="6"/>
        <v>0</v>
      </c>
      <c r="G126" s="63">
        <f>PRODUCTOS[[#This Row],[CONTEO INICIAL]]+E126-F126</f>
        <v>90</v>
      </c>
      <c r="K126" s="19" t="str">
        <f t="shared" si="4"/>
        <v/>
      </c>
      <c r="P126" s="19" t="str">
        <f t="shared" si="7"/>
        <v/>
      </c>
    </row>
    <row r="127" spans="2:16" ht="15.75" customHeight="1" x14ac:dyDescent="0.2">
      <c r="B127" s="104" t="s">
        <v>254</v>
      </c>
      <c r="C127" s="61" t="s">
        <v>255</v>
      </c>
      <c r="D127" s="59">
        <v>34</v>
      </c>
      <c r="E127" s="62">
        <f t="shared" si="5"/>
        <v>0</v>
      </c>
      <c r="F127" s="62">
        <f t="shared" si="6"/>
        <v>0</v>
      </c>
      <c r="G127" s="63">
        <f>PRODUCTOS[[#This Row],[CONTEO INICIAL]]+E127-F127</f>
        <v>34</v>
      </c>
      <c r="K127" s="19" t="str">
        <f t="shared" si="4"/>
        <v/>
      </c>
      <c r="P127" s="19" t="str">
        <f t="shared" si="7"/>
        <v/>
      </c>
    </row>
    <row r="128" spans="2:16" ht="15.75" customHeight="1" x14ac:dyDescent="0.2">
      <c r="B128" s="104" t="s">
        <v>256</v>
      </c>
      <c r="C128" s="61" t="s">
        <v>257</v>
      </c>
      <c r="D128" s="59">
        <v>74</v>
      </c>
      <c r="E128" s="62">
        <f t="shared" si="5"/>
        <v>0</v>
      </c>
      <c r="F128" s="62">
        <f t="shared" si="6"/>
        <v>0</v>
      </c>
      <c r="G128" s="63">
        <f>PRODUCTOS[[#This Row],[CONTEO INICIAL]]+E128-F128</f>
        <v>74</v>
      </c>
      <c r="K128" s="19" t="str">
        <f t="shared" si="4"/>
        <v/>
      </c>
      <c r="P128" s="19" t="str">
        <f t="shared" si="7"/>
        <v/>
      </c>
    </row>
    <row r="129" spans="2:16" ht="15.75" customHeight="1" x14ac:dyDescent="0.2">
      <c r="B129" s="105" t="s">
        <v>258</v>
      </c>
      <c r="C129" s="61" t="s">
        <v>259</v>
      </c>
      <c r="D129" s="59">
        <v>200</v>
      </c>
      <c r="E129" s="62">
        <f t="shared" si="5"/>
        <v>0</v>
      </c>
      <c r="F129" s="62">
        <f t="shared" si="6"/>
        <v>0</v>
      </c>
      <c r="G129" s="63">
        <f>PRODUCTOS[[#This Row],[CONTEO INICIAL]]+E129-F129</f>
        <v>200</v>
      </c>
      <c r="K129" s="19" t="str">
        <f t="shared" si="4"/>
        <v/>
      </c>
      <c r="P129" s="19" t="str">
        <f t="shared" si="7"/>
        <v/>
      </c>
    </row>
    <row r="130" spans="2:16" ht="15.75" customHeight="1" x14ac:dyDescent="0.2">
      <c r="B130" s="104" t="s">
        <v>260</v>
      </c>
      <c r="C130" s="80" t="s">
        <v>261</v>
      </c>
      <c r="D130" s="81">
        <v>253</v>
      </c>
      <c r="E130" s="82">
        <f t="shared" si="5"/>
        <v>0</v>
      </c>
      <c r="F130" s="82">
        <f t="shared" si="6"/>
        <v>0</v>
      </c>
      <c r="G130" s="83">
        <f>PRODUCTOS[[#This Row],[CONTEO INICIAL]]+E130-F130</f>
        <v>253</v>
      </c>
      <c r="K130" s="19" t="str">
        <f t="shared" si="4"/>
        <v/>
      </c>
      <c r="P130" s="19" t="str">
        <f t="shared" si="7"/>
        <v/>
      </c>
    </row>
    <row r="131" spans="2:16" ht="15.75" customHeight="1" x14ac:dyDescent="0.2">
      <c r="B131" s="104" t="s">
        <v>262</v>
      </c>
      <c r="C131" s="45" t="s">
        <v>263</v>
      </c>
      <c r="D131" s="46">
        <v>29</v>
      </c>
      <c r="E131" s="47">
        <f t="shared" si="5"/>
        <v>0</v>
      </c>
      <c r="F131" s="47">
        <f t="shared" si="6"/>
        <v>0</v>
      </c>
      <c r="G131" s="48">
        <f>PRODUCTOS[[#This Row],[CONTEO INICIAL]]+E131-F131</f>
        <v>29</v>
      </c>
      <c r="K131" s="19" t="str">
        <f t="shared" si="4"/>
        <v/>
      </c>
      <c r="P131" s="19" t="str">
        <f t="shared" si="7"/>
        <v/>
      </c>
    </row>
    <row r="132" spans="2:16" ht="15.75" customHeight="1" x14ac:dyDescent="0.2">
      <c r="B132" s="27" t="s">
        <v>264</v>
      </c>
      <c r="C132" s="25" t="s">
        <v>265</v>
      </c>
      <c r="D132" s="41"/>
      <c r="E132" s="38">
        <f t="shared" si="5"/>
        <v>0</v>
      </c>
      <c r="F132" s="38">
        <f t="shared" si="6"/>
        <v>0</v>
      </c>
      <c r="G132" s="37">
        <f>PRODUCTOS[[#This Row],[CONTEO INICIAL]]+E132-F132</f>
        <v>0</v>
      </c>
      <c r="K132" s="19" t="str">
        <f t="shared" ref="K132:K195" si="8">IF(J132="", "", IFERROR(VLOOKUP(J132&amp;"", $B$4:$C$5005, 2, FALSE), "NO EXISTE"))</f>
        <v/>
      </c>
      <c r="P132" s="19" t="str">
        <f t="shared" si="7"/>
        <v/>
      </c>
    </row>
    <row r="133" spans="2:16" ht="15.75" customHeight="1" x14ac:dyDescent="0.2">
      <c r="B133" s="104" t="s">
        <v>266</v>
      </c>
      <c r="C133" s="74" t="s">
        <v>267</v>
      </c>
      <c r="D133" s="75">
        <v>54</v>
      </c>
      <c r="E133" s="76">
        <f t="shared" ref="E133:E198" si="9">SUMIF($J$4:$J$5000, B133, $M$4:$M$5000)</f>
        <v>0</v>
      </c>
      <c r="F133" s="76">
        <f t="shared" ref="F133:F198" si="10">SUMIF($O$4:$O$5000, B133, $R$4:$R$5000)</f>
        <v>0</v>
      </c>
      <c r="G133" s="77">
        <f>PRODUCTOS[[#This Row],[CONTEO INICIAL]]+E133-F133</f>
        <v>54</v>
      </c>
      <c r="K133" s="19" t="str">
        <f t="shared" si="8"/>
        <v/>
      </c>
      <c r="P133" s="19" t="str">
        <f t="shared" si="7"/>
        <v/>
      </c>
    </row>
    <row r="134" spans="2:16" ht="15.75" customHeight="1" x14ac:dyDescent="0.2">
      <c r="B134" s="104" t="s">
        <v>268</v>
      </c>
      <c r="C134" s="74" t="s">
        <v>269</v>
      </c>
      <c r="D134" s="75">
        <v>60</v>
      </c>
      <c r="E134" s="76">
        <f t="shared" si="9"/>
        <v>0</v>
      </c>
      <c r="F134" s="76">
        <f t="shared" si="10"/>
        <v>0</v>
      </c>
      <c r="G134" s="77">
        <f>PRODUCTOS[[#This Row],[CONTEO INICIAL]]+E134-F134</f>
        <v>60</v>
      </c>
      <c r="K134" s="19" t="str">
        <f t="shared" si="8"/>
        <v/>
      </c>
      <c r="P134" s="19" t="str">
        <f t="shared" si="7"/>
        <v/>
      </c>
    </row>
    <row r="135" spans="2:16" ht="15.75" customHeight="1" x14ac:dyDescent="0.2">
      <c r="B135" s="104" t="s">
        <v>270</v>
      </c>
      <c r="C135" s="45" t="s">
        <v>271</v>
      </c>
      <c r="D135" s="46">
        <v>11</v>
      </c>
      <c r="E135" s="47">
        <f t="shared" si="9"/>
        <v>0</v>
      </c>
      <c r="F135" s="47">
        <f t="shared" si="10"/>
        <v>0</v>
      </c>
      <c r="G135" s="48">
        <f>PRODUCTOS[[#This Row],[CONTEO INICIAL]]+E135-F135</f>
        <v>11</v>
      </c>
      <c r="K135" s="19" t="str">
        <f t="shared" si="8"/>
        <v/>
      </c>
      <c r="P135" s="19" t="str">
        <f t="shared" si="7"/>
        <v/>
      </c>
    </row>
    <row r="136" spans="2:16" ht="15.75" customHeight="1" x14ac:dyDescent="0.2">
      <c r="B136" s="104" t="s">
        <v>272</v>
      </c>
      <c r="C136" s="45" t="s">
        <v>273</v>
      </c>
      <c r="D136" s="46">
        <v>40</v>
      </c>
      <c r="E136" s="47">
        <f t="shared" si="9"/>
        <v>0</v>
      </c>
      <c r="F136" s="47">
        <f t="shared" si="10"/>
        <v>0</v>
      </c>
      <c r="G136" s="48">
        <f>PRODUCTOS[[#This Row],[CONTEO INICIAL]]+E136-F136</f>
        <v>40</v>
      </c>
      <c r="K136" s="19" t="str">
        <f t="shared" si="8"/>
        <v/>
      </c>
      <c r="P136" s="19" t="str">
        <f t="shared" si="7"/>
        <v/>
      </c>
    </row>
    <row r="137" spans="2:16" ht="15.75" customHeight="1" x14ac:dyDescent="0.2">
      <c r="B137" s="104" t="s">
        <v>274</v>
      </c>
      <c r="C137" s="45" t="s">
        <v>275</v>
      </c>
      <c r="D137" s="46">
        <v>16</v>
      </c>
      <c r="E137" s="47">
        <f t="shared" si="9"/>
        <v>0</v>
      </c>
      <c r="F137" s="47">
        <f t="shared" si="10"/>
        <v>0</v>
      </c>
      <c r="G137" s="48">
        <f>PRODUCTOS[[#This Row],[CONTEO INICIAL]]+E137-F137</f>
        <v>16</v>
      </c>
      <c r="K137" s="19" t="str">
        <f t="shared" si="8"/>
        <v/>
      </c>
      <c r="P137" s="19" t="str">
        <f t="shared" si="7"/>
        <v/>
      </c>
    </row>
    <row r="138" spans="2:16" ht="15.75" customHeight="1" x14ac:dyDescent="0.2">
      <c r="B138" s="104" t="s">
        <v>276</v>
      </c>
      <c r="C138" s="45" t="s">
        <v>277</v>
      </c>
      <c r="D138" s="46">
        <v>5</v>
      </c>
      <c r="E138" s="47">
        <f t="shared" si="9"/>
        <v>0</v>
      </c>
      <c r="F138" s="47">
        <f t="shared" si="10"/>
        <v>0</v>
      </c>
      <c r="G138" s="48">
        <f>PRODUCTOS[[#This Row],[CONTEO INICIAL]]+E138-F138</f>
        <v>5</v>
      </c>
      <c r="K138" s="19" t="str">
        <f t="shared" si="8"/>
        <v/>
      </c>
      <c r="P138" s="19" t="str">
        <f t="shared" ref="P138:P201" si="11">IF(O138="", "", IFERROR(VLOOKUP(O138&amp;"", $B$4:$C$5005, 2, FALSE), "NO EXISTE"))</f>
        <v/>
      </c>
    </row>
    <row r="139" spans="2:16" ht="15.75" customHeight="1" x14ac:dyDescent="0.2">
      <c r="B139" s="27" t="s">
        <v>278</v>
      </c>
      <c r="C139" s="25" t="s">
        <v>279</v>
      </c>
      <c r="D139" s="41"/>
      <c r="E139" s="38">
        <f t="shared" si="9"/>
        <v>0</v>
      </c>
      <c r="F139" s="38">
        <f t="shared" si="10"/>
        <v>0</v>
      </c>
      <c r="G139" s="37">
        <f>PRODUCTOS[[#This Row],[CONTEO INICIAL]]+E139-F139</f>
        <v>0</v>
      </c>
      <c r="K139" s="19" t="str">
        <f t="shared" si="8"/>
        <v/>
      </c>
      <c r="P139" s="19" t="str">
        <f t="shared" si="11"/>
        <v/>
      </c>
    </row>
    <row r="140" spans="2:16" ht="15.75" customHeight="1" x14ac:dyDescent="0.2">
      <c r="B140" s="44" t="s">
        <v>280</v>
      </c>
      <c r="C140" s="45" t="s">
        <v>281</v>
      </c>
      <c r="D140" s="46">
        <v>39</v>
      </c>
      <c r="E140" s="47">
        <f t="shared" si="9"/>
        <v>0</v>
      </c>
      <c r="F140" s="47">
        <f t="shared" si="10"/>
        <v>0</v>
      </c>
      <c r="G140" s="48">
        <f>PRODUCTOS[[#This Row],[CONTEO INICIAL]]+E140-F140</f>
        <v>39</v>
      </c>
      <c r="K140" s="19" t="str">
        <f t="shared" si="8"/>
        <v/>
      </c>
      <c r="P140" s="19" t="str">
        <f t="shared" si="11"/>
        <v/>
      </c>
    </row>
    <row r="141" spans="2:16" s="70" customFormat="1" ht="15.75" customHeight="1" x14ac:dyDescent="0.2">
      <c r="B141" s="44" t="s">
        <v>282</v>
      </c>
      <c r="C141" s="45" t="s">
        <v>283</v>
      </c>
      <c r="D141" s="46">
        <v>47</v>
      </c>
      <c r="E141" s="47">
        <f t="shared" si="9"/>
        <v>0</v>
      </c>
      <c r="F141" s="47">
        <f t="shared" si="10"/>
        <v>0</v>
      </c>
      <c r="G141" s="48">
        <f>PRODUCTOS[[#This Row],[CONTEO INICIAL]]+E141-F141</f>
        <v>47</v>
      </c>
      <c r="H141"/>
      <c r="K141" s="84" t="str">
        <f t="shared" si="8"/>
        <v/>
      </c>
      <c r="P141" s="84" t="str">
        <f t="shared" si="11"/>
        <v/>
      </c>
    </row>
    <row r="142" spans="2:16" s="70" customFormat="1" ht="15.75" customHeight="1" x14ac:dyDescent="0.2">
      <c r="B142" s="79" t="s">
        <v>284</v>
      </c>
      <c r="C142" s="80" t="s">
        <v>285</v>
      </c>
      <c r="D142" s="81">
        <v>38</v>
      </c>
      <c r="E142" s="82">
        <f t="shared" si="9"/>
        <v>0</v>
      </c>
      <c r="F142" s="82">
        <f t="shared" si="10"/>
        <v>0</v>
      </c>
      <c r="G142" s="83">
        <f>PRODUCTOS[[#This Row],[CONTEO INICIAL]]+E142-F142</f>
        <v>38</v>
      </c>
      <c r="H142" s="70" t="s">
        <v>605</v>
      </c>
      <c r="K142" s="84" t="str">
        <f t="shared" si="8"/>
        <v/>
      </c>
      <c r="P142" s="84" t="str">
        <f t="shared" si="11"/>
        <v/>
      </c>
    </row>
    <row r="143" spans="2:16" ht="15.75" customHeight="1" x14ac:dyDescent="0.2">
      <c r="B143" s="79" t="s">
        <v>286</v>
      </c>
      <c r="C143" s="80" t="s">
        <v>287</v>
      </c>
      <c r="D143" s="81">
        <v>18</v>
      </c>
      <c r="E143" s="82">
        <f t="shared" si="9"/>
        <v>0</v>
      </c>
      <c r="F143" s="82">
        <f t="shared" si="10"/>
        <v>0</v>
      </c>
      <c r="G143" s="83">
        <f>PRODUCTOS[[#This Row],[CONTEO INICIAL]]+E143-F143</f>
        <v>18</v>
      </c>
      <c r="H143" s="70"/>
      <c r="K143" s="19" t="str">
        <f t="shared" si="8"/>
        <v/>
      </c>
      <c r="P143" s="19" t="str">
        <f t="shared" si="11"/>
        <v/>
      </c>
    </row>
    <row r="144" spans="2:16" ht="15.75" customHeight="1" x14ac:dyDescent="0.2">
      <c r="B144" s="104" t="s">
        <v>212</v>
      </c>
      <c r="C144" s="61" t="s">
        <v>213</v>
      </c>
      <c r="D144" s="59">
        <v>7</v>
      </c>
      <c r="E144" s="62">
        <f t="shared" si="9"/>
        <v>0</v>
      </c>
      <c r="F144" s="62">
        <f t="shared" si="10"/>
        <v>0</v>
      </c>
      <c r="G144" s="63">
        <f>PRODUCTOS[[#This Row],[CONTEO INICIAL]]+E144-F144</f>
        <v>7</v>
      </c>
      <c r="K144" s="19" t="str">
        <f t="shared" si="8"/>
        <v/>
      </c>
      <c r="P144" s="19" t="str">
        <f t="shared" si="11"/>
        <v/>
      </c>
    </row>
    <row r="145" spans="2:16" ht="15.75" customHeight="1" x14ac:dyDescent="0.2">
      <c r="B145" s="44" t="s">
        <v>288</v>
      </c>
      <c r="C145" s="45" t="s">
        <v>289</v>
      </c>
      <c r="D145" s="46">
        <v>50</v>
      </c>
      <c r="E145" s="47">
        <f t="shared" si="9"/>
        <v>0</v>
      </c>
      <c r="F145" s="47">
        <f t="shared" si="10"/>
        <v>0</v>
      </c>
      <c r="G145" s="48">
        <f>PRODUCTOS[[#This Row],[CONTEO INICIAL]]+E145-F145</f>
        <v>50</v>
      </c>
      <c r="K145" s="19" t="str">
        <f t="shared" si="8"/>
        <v/>
      </c>
      <c r="P145" s="19" t="str">
        <f t="shared" si="11"/>
        <v/>
      </c>
    </row>
    <row r="146" spans="2:16" ht="15.75" customHeight="1" x14ac:dyDescent="0.2">
      <c r="B146" s="44" t="s">
        <v>290</v>
      </c>
      <c r="C146" s="45" t="s">
        <v>291</v>
      </c>
      <c r="D146" s="46">
        <v>39</v>
      </c>
      <c r="E146" s="47">
        <f t="shared" si="9"/>
        <v>0</v>
      </c>
      <c r="F146" s="47">
        <f t="shared" si="10"/>
        <v>0</v>
      </c>
      <c r="G146" s="48">
        <f>PRODUCTOS[[#This Row],[CONTEO INICIAL]]+E146-F146</f>
        <v>39</v>
      </c>
      <c r="K146" s="19" t="str">
        <f t="shared" si="8"/>
        <v/>
      </c>
      <c r="P146" s="19" t="str">
        <f t="shared" si="11"/>
        <v/>
      </c>
    </row>
    <row r="147" spans="2:16" ht="15.75" customHeight="1" x14ac:dyDescent="0.2">
      <c r="B147" s="27" t="s">
        <v>292</v>
      </c>
      <c r="C147" s="25" t="s">
        <v>293</v>
      </c>
      <c r="D147" s="41"/>
      <c r="E147" s="38">
        <f t="shared" si="9"/>
        <v>0</v>
      </c>
      <c r="F147" s="38">
        <f t="shared" si="10"/>
        <v>0</v>
      </c>
      <c r="G147" s="37">
        <f>PRODUCTOS[[#This Row],[CONTEO INICIAL]]+E147-F147</f>
        <v>0</v>
      </c>
      <c r="K147" s="19" t="str">
        <f t="shared" si="8"/>
        <v/>
      </c>
      <c r="P147" s="19" t="str">
        <f t="shared" si="11"/>
        <v/>
      </c>
    </row>
    <row r="148" spans="2:16" ht="15.75" customHeight="1" x14ac:dyDescent="0.2">
      <c r="B148" s="27" t="s">
        <v>294</v>
      </c>
      <c r="C148" s="25" t="s">
        <v>295</v>
      </c>
      <c r="D148" s="41"/>
      <c r="E148" s="38">
        <f t="shared" si="9"/>
        <v>0</v>
      </c>
      <c r="F148" s="38">
        <f t="shared" si="10"/>
        <v>0</v>
      </c>
      <c r="G148" s="37">
        <f>PRODUCTOS[[#This Row],[CONTEO INICIAL]]+E148-F148</f>
        <v>0</v>
      </c>
      <c r="K148" s="19" t="str">
        <f t="shared" si="8"/>
        <v/>
      </c>
      <c r="P148" s="19" t="str">
        <f t="shared" si="11"/>
        <v/>
      </c>
    </row>
    <row r="149" spans="2:16" ht="15.75" customHeight="1" x14ac:dyDescent="0.2">
      <c r="B149" s="27" t="s">
        <v>296</v>
      </c>
      <c r="C149" s="25" t="s">
        <v>297</v>
      </c>
      <c r="D149" s="41"/>
      <c r="E149" s="38">
        <f t="shared" si="9"/>
        <v>0</v>
      </c>
      <c r="F149" s="38">
        <f t="shared" si="10"/>
        <v>0</v>
      </c>
      <c r="G149" s="37">
        <f>PRODUCTOS[[#This Row],[CONTEO INICIAL]]+E149-F149</f>
        <v>0</v>
      </c>
      <c r="K149" s="19" t="str">
        <f t="shared" si="8"/>
        <v/>
      </c>
      <c r="P149" s="19" t="str">
        <f t="shared" si="11"/>
        <v/>
      </c>
    </row>
    <row r="150" spans="2:16" ht="15.75" customHeight="1" x14ac:dyDescent="0.2">
      <c r="B150" s="27" t="s">
        <v>298</v>
      </c>
      <c r="C150" s="25" t="s">
        <v>299</v>
      </c>
      <c r="D150" s="41"/>
      <c r="E150" s="38">
        <f t="shared" si="9"/>
        <v>0</v>
      </c>
      <c r="F150" s="38">
        <f t="shared" si="10"/>
        <v>0</v>
      </c>
      <c r="G150" s="37">
        <f>PRODUCTOS[[#This Row],[CONTEO INICIAL]]+E150-F150</f>
        <v>0</v>
      </c>
      <c r="K150" s="19" t="str">
        <f t="shared" si="8"/>
        <v/>
      </c>
      <c r="P150" s="19" t="str">
        <f t="shared" si="11"/>
        <v/>
      </c>
    </row>
    <row r="151" spans="2:16" ht="15.75" customHeight="1" x14ac:dyDescent="0.2">
      <c r="B151" s="27" t="s">
        <v>300</v>
      </c>
      <c r="C151" s="25" t="s">
        <v>301</v>
      </c>
      <c r="D151" s="41"/>
      <c r="E151" s="38">
        <f t="shared" si="9"/>
        <v>0</v>
      </c>
      <c r="F151" s="38">
        <f t="shared" si="10"/>
        <v>0</v>
      </c>
      <c r="G151" s="37">
        <f>PRODUCTOS[[#This Row],[CONTEO INICIAL]]+E151-F151</f>
        <v>0</v>
      </c>
      <c r="K151" s="19" t="str">
        <f t="shared" si="8"/>
        <v/>
      </c>
      <c r="P151" s="19" t="str">
        <f t="shared" si="11"/>
        <v/>
      </c>
    </row>
    <row r="152" spans="2:16" ht="15.75" customHeight="1" x14ac:dyDescent="0.2">
      <c r="B152" s="27" t="s">
        <v>302</v>
      </c>
      <c r="C152" s="25" t="s">
        <v>303</v>
      </c>
      <c r="D152" s="41"/>
      <c r="E152" s="38">
        <f t="shared" si="9"/>
        <v>0</v>
      </c>
      <c r="F152" s="38">
        <f t="shared" si="10"/>
        <v>0</v>
      </c>
      <c r="G152" s="37">
        <f>PRODUCTOS[[#This Row],[CONTEO INICIAL]]+E152-F152</f>
        <v>0</v>
      </c>
      <c r="K152" s="19" t="str">
        <f t="shared" si="8"/>
        <v/>
      </c>
      <c r="P152" s="19" t="str">
        <f t="shared" si="11"/>
        <v/>
      </c>
    </row>
    <row r="153" spans="2:16" s="70" customFormat="1" ht="15.75" customHeight="1" x14ac:dyDescent="0.2">
      <c r="B153" s="49" t="s">
        <v>576</v>
      </c>
      <c r="C153" s="45"/>
      <c r="D153" s="50">
        <v>37</v>
      </c>
      <c r="E153" s="47">
        <f t="shared" si="9"/>
        <v>0</v>
      </c>
      <c r="F153" s="47">
        <f t="shared" si="10"/>
        <v>0</v>
      </c>
      <c r="G153" s="48">
        <f>PRODUCTOS[[#This Row],[CONTEO INICIAL]]+E153-F153</f>
        <v>37</v>
      </c>
      <c r="H153"/>
      <c r="K153" s="84" t="str">
        <f t="shared" si="8"/>
        <v/>
      </c>
      <c r="P153" s="84" t="str">
        <f t="shared" si="11"/>
        <v/>
      </c>
    </row>
    <row r="154" spans="2:16" ht="15.75" customHeight="1" x14ac:dyDescent="0.2">
      <c r="B154" s="85" t="s">
        <v>606</v>
      </c>
      <c r="C154" s="80"/>
      <c r="D154" s="86" t="s">
        <v>607</v>
      </c>
      <c r="E154" s="82">
        <f>SUMIF($J$4:$J$5000, B154, $M$4:$M$5000)</f>
        <v>0</v>
      </c>
      <c r="F154" s="82">
        <f>SUMIF($O$4:$O$5000, B154, $R$4:$R$5000)</f>
        <v>0</v>
      </c>
      <c r="G154" s="83">
        <f>PRODUCTOS[[#This Row],[CONTEO INICIAL]]+E154-F154</f>
        <v>47</v>
      </c>
      <c r="H154" s="70"/>
      <c r="K154" s="19" t="str">
        <f t="shared" si="8"/>
        <v/>
      </c>
      <c r="P154" s="19" t="str">
        <f t="shared" si="11"/>
        <v/>
      </c>
    </row>
    <row r="155" spans="2:16" ht="15.75" customHeight="1" x14ac:dyDescent="0.2">
      <c r="B155" s="79" t="s">
        <v>304</v>
      </c>
      <c r="C155" s="80" t="s">
        <v>305</v>
      </c>
      <c r="D155" s="81">
        <v>260</v>
      </c>
      <c r="E155" s="82">
        <f t="shared" si="9"/>
        <v>0</v>
      </c>
      <c r="F155" s="82">
        <f t="shared" si="10"/>
        <v>0</v>
      </c>
      <c r="G155" s="83">
        <f>PRODUCTOS[[#This Row],[CONTEO INICIAL]]+E155-F155</f>
        <v>260</v>
      </c>
      <c r="K155" s="19" t="str">
        <f t="shared" si="8"/>
        <v/>
      </c>
      <c r="P155" s="19" t="str">
        <f t="shared" si="11"/>
        <v/>
      </c>
    </row>
    <row r="156" spans="2:16" ht="15.75" customHeight="1" x14ac:dyDescent="0.2">
      <c r="B156" s="27" t="s">
        <v>306</v>
      </c>
      <c r="C156" s="25" t="s">
        <v>307</v>
      </c>
      <c r="D156" s="41"/>
      <c r="E156" s="38">
        <f t="shared" si="9"/>
        <v>0</v>
      </c>
      <c r="F156" s="38">
        <f t="shared" si="10"/>
        <v>0</v>
      </c>
      <c r="G156" s="37">
        <f>PRODUCTOS[[#This Row],[CONTEO INICIAL]]+E156-F156</f>
        <v>0</v>
      </c>
      <c r="K156" s="19" t="str">
        <f t="shared" si="8"/>
        <v/>
      </c>
      <c r="P156" s="19" t="str">
        <f t="shared" si="11"/>
        <v/>
      </c>
    </row>
    <row r="157" spans="2:16" ht="15.75" customHeight="1" x14ac:dyDescent="0.2">
      <c r="B157" s="27" t="s">
        <v>308</v>
      </c>
      <c r="C157" s="25" t="s">
        <v>309</v>
      </c>
      <c r="D157" s="41"/>
      <c r="E157" s="38">
        <f t="shared" si="9"/>
        <v>0</v>
      </c>
      <c r="F157" s="38">
        <f t="shared" si="10"/>
        <v>0</v>
      </c>
      <c r="G157" s="37">
        <f>PRODUCTOS[[#This Row],[CONTEO INICIAL]]+E157-F157</f>
        <v>0</v>
      </c>
      <c r="K157" s="19" t="str">
        <f t="shared" si="8"/>
        <v/>
      </c>
      <c r="P157" s="19" t="str">
        <f t="shared" si="11"/>
        <v/>
      </c>
    </row>
    <row r="158" spans="2:16" ht="15.75" customHeight="1" x14ac:dyDescent="0.2">
      <c r="B158" s="79" t="s">
        <v>310</v>
      </c>
      <c r="C158" s="80" t="s">
        <v>311</v>
      </c>
      <c r="D158" s="81">
        <v>33</v>
      </c>
      <c r="E158" s="82">
        <f t="shared" si="9"/>
        <v>0</v>
      </c>
      <c r="F158" s="82">
        <f t="shared" si="10"/>
        <v>0</v>
      </c>
      <c r="G158" s="83">
        <f>PRODUCTOS[[#This Row],[CONTEO INICIAL]]+E158-F158</f>
        <v>33</v>
      </c>
      <c r="K158" s="19" t="str">
        <f t="shared" si="8"/>
        <v/>
      </c>
      <c r="P158" s="19" t="str">
        <f t="shared" si="11"/>
        <v/>
      </c>
    </row>
    <row r="159" spans="2:16" ht="15.75" customHeight="1" x14ac:dyDescent="0.2">
      <c r="B159" s="27" t="s">
        <v>312</v>
      </c>
      <c r="C159" s="25" t="s">
        <v>313</v>
      </c>
      <c r="D159" s="41"/>
      <c r="E159" s="38">
        <f t="shared" si="9"/>
        <v>0</v>
      </c>
      <c r="F159" s="38">
        <f t="shared" si="10"/>
        <v>0</v>
      </c>
      <c r="G159" s="37">
        <f>PRODUCTOS[[#This Row],[CONTEO INICIAL]]+E159-F159</f>
        <v>0</v>
      </c>
      <c r="K159" s="19" t="str">
        <f t="shared" si="8"/>
        <v/>
      </c>
      <c r="P159" s="19" t="str">
        <f t="shared" si="11"/>
        <v/>
      </c>
    </row>
    <row r="160" spans="2:16" ht="15.75" customHeight="1" x14ac:dyDescent="0.2">
      <c r="B160" s="27" t="s">
        <v>314</v>
      </c>
      <c r="C160" s="25" t="s">
        <v>315</v>
      </c>
      <c r="D160" s="41"/>
      <c r="E160" s="38">
        <f t="shared" si="9"/>
        <v>0</v>
      </c>
      <c r="F160" s="38">
        <f t="shared" si="10"/>
        <v>0</v>
      </c>
      <c r="G160" s="37">
        <f>PRODUCTOS[[#This Row],[CONTEO INICIAL]]+E160-F160</f>
        <v>0</v>
      </c>
      <c r="K160" s="19" t="str">
        <f t="shared" si="8"/>
        <v/>
      </c>
      <c r="P160" s="19" t="str">
        <f t="shared" si="11"/>
        <v/>
      </c>
    </row>
    <row r="161" spans="2:16" ht="15.75" customHeight="1" x14ac:dyDescent="0.2">
      <c r="B161" s="27" t="s">
        <v>316</v>
      </c>
      <c r="C161" s="25" t="s">
        <v>317</v>
      </c>
      <c r="D161" s="41"/>
      <c r="E161" s="38">
        <f t="shared" si="9"/>
        <v>0</v>
      </c>
      <c r="F161" s="38">
        <f t="shared" si="10"/>
        <v>0</v>
      </c>
      <c r="G161" s="37">
        <f>PRODUCTOS[[#This Row],[CONTEO INICIAL]]+E161-F161</f>
        <v>0</v>
      </c>
      <c r="K161" s="19" t="str">
        <f t="shared" si="8"/>
        <v/>
      </c>
      <c r="P161" s="19" t="str">
        <f t="shared" si="11"/>
        <v/>
      </c>
    </row>
    <row r="162" spans="2:16" ht="15.75" customHeight="1" x14ac:dyDescent="0.2">
      <c r="B162" s="27" t="s">
        <v>318</v>
      </c>
      <c r="C162" s="25" t="s">
        <v>319</v>
      </c>
      <c r="D162" s="41"/>
      <c r="E162" s="38">
        <f t="shared" si="9"/>
        <v>0</v>
      </c>
      <c r="F162" s="38">
        <f t="shared" si="10"/>
        <v>0</v>
      </c>
      <c r="G162" s="37">
        <f>PRODUCTOS[[#This Row],[CONTEO INICIAL]]+E162-F162</f>
        <v>0</v>
      </c>
      <c r="K162" s="19" t="str">
        <f t="shared" si="8"/>
        <v/>
      </c>
      <c r="P162" s="19" t="str">
        <f t="shared" si="11"/>
        <v/>
      </c>
    </row>
    <row r="163" spans="2:16" ht="15.75" customHeight="1" x14ac:dyDescent="0.2">
      <c r="B163" s="27" t="s">
        <v>320</v>
      </c>
      <c r="C163" s="25" t="s">
        <v>321</v>
      </c>
      <c r="D163" s="41"/>
      <c r="E163" s="38">
        <f t="shared" si="9"/>
        <v>0</v>
      </c>
      <c r="F163" s="38">
        <f t="shared" si="10"/>
        <v>0</v>
      </c>
      <c r="G163" s="37">
        <f>PRODUCTOS[[#This Row],[CONTEO INICIAL]]+E163-F163</f>
        <v>0</v>
      </c>
      <c r="K163" s="19" t="str">
        <f t="shared" si="8"/>
        <v/>
      </c>
      <c r="P163" s="19" t="str">
        <f t="shared" si="11"/>
        <v/>
      </c>
    </row>
    <row r="164" spans="2:16" ht="15.75" customHeight="1" x14ac:dyDescent="0.2">
      <c r="B164" s="27" t="s">
        <v>322</v>
      </c>
      <c r="C164" s="25" t="s">
        <v>323</v>
      </c>
      <c r="D164" s="41"/>
      <c r="E164" s="38">
        <f t="shared" si="9"/>
        <v>0</v>
      </c>
      <c r="F164" s="38">
        <f t="shared" si="10"/>
        <v>0</v>
      </c>
      <c r="G164" s="37">
        <f>PRODUCTOS[[#This Row],[CONTEO INICIAL]]+E164-F164</f>
        <v>0</v>
      </c>
      <c r="K164" s="19" t="str">
        <f t="shared" si="8"/>
        <v/>
      </c>
      <c r="P164" s="19" t="str">
        <f t="shared" si="11"/>
        <v/>
      </c>
    </row>
    <row r="165" spans="2:16" ht="15.75" customHeight="1" x14ac:dyDescent="0.2">
      <c r="B165" s="73" t="s">
        <v>324</v>
      </c>
      <c r="C165" s="74" t="s">
        <v>325</v>
      </c>
      <c r="D165" s="75">
        <v>2</v>
      </c>
      <c r="E165" s="76">
        <f t="shared" si="9"/>
        <v>0</v>
      </c>
      <c r="F165" s="76">
        <f t="shared" si="10"/>
        <v>0</v>
      </c>
      <c r="G165" s="77">
        <f>PRODUCTOS[[#This Row],[CONTEO INICIAL]]+E165-F165</f>
        <v>2</v>
      </c>
      <c r="H165" s="71" t="s">
        <v>586</v>
      </c>
      <c r="K165" s="19" t="str">
        <f t="shared" si="8"/>
        <v/>
      </c>
      <c r="P165" s="19" t="str">
        <f t="shared" si="11"/>
        <v/>
      </c>
    </row>
    <row r="166" spans="2:16" ht="15.75" customHeight="1" x14ac:dyDescent="0.2">
      <c r="B166" s="27" t="s">
        <v>326</v>
      </c>
      <c r="C166" s="25" t="s">
        <v>327</v>
      </c>
      <c r="D166" s="41"/>
      <c r="E166" s="38">
        <f t="shared" si="9"/>
        <v>0</v>
      </c>
      <c r="F166" s="38">
        <f t="shared" si="10"/>
        <v>0</v>
      </c>
      <c r="G166" s="37">
        <f>PRODUCTOS[[#This Row],[CONTEO INICIAL]]+E166-F166</f>
        <v>0</v>
      </c>
      <c r="K166" s="19" t="str">
        <f t="shared" si="8"/>
        <v/>
      </c>
      <c r="P166" s="19" t="str">
        <f t="shared" si="11"/>
        <v/>
      </c>
    </row>
    <row r="167" spans="2:16" ht="15.75" customHeight="1" x14ac:dyDescent="0.2">
      <c r="B167" s="73" t="s">
        <v>328</v>
      </c>
      <c r="C167" s="74" t="s">
        <v>329</v>
      </c>
      <c r="D167" s="75">
        <v>5</v>
      </c>
      <c r="E167" s="76">
        <f t="shared" si="9"/>
        <v>0</v>
      </c>
      <c r="F167" s="76">
        <f t="shared" si="10"/>
        <v>0</v>
      </c>
      <c r="G167" s="77">
        <f>PRODUCTOS[[#This Row],[CONTEO INICIAL]]+E167-F167</f>
        <v>5</v>
      </c>
      <c r="K167" s="19" t="str">
        <f t="shared" si="8"/>
        <v/>
      </c>
      <c r="P167" s="19" t="str">
        <f t="shared" si="11"/>
        <v/>
      </c>
    </row>
    <row r="168" spans="2:16" ht="15.75" customHeight="1" x14ac:dyDescent="0.2">
      <c r="B168" s="79" t="s">
        <v>332</v>
      </c>
      <c r="C168" s="80" t="s">
        <v>333</v>
      </c>
      <c r="D168" s="81">
        <v>10</v>
      </c>
      <c r="E168" s="82">
        <f t="shared" si="9"/>
        <v>0</v>
      </c>
      <c r="F168" s="82">
        <f t="shared" si="10"/>
        <v>0</v>
      </c>
      <c r="G168" s="83">
        <f>PRODUCTOS[[#This Row],[CONTEO INICIAL]]+E168-F168</f>
        <v>10</v>
      </c>
      <c r="K168" s="19" t="str">
        <f t="shared" si="8"/>
        <v/>
      </c>
      <c r="P168" s="19" t="str">
        <f t="shared" si="11"/>
        <v/>
      </c>
    </row>
    <row r="169" spans="2:16" ht="15.75" customHeight="1" x14ac:dyDescent="0.2">
      <c r="B169" s="79" t="s">
        <v>330</v>
      </c>
      <c r="C169" s="80" t="s">
        <v>331</v>
      </c>
      <c r="D169" s="81">
        <v>4</v>
      </c>
      <c r="E169" s="82">
        <f t="shared" si="9"/>
        <v>0</v>
      </c>
      <c r="F169" s="82">
        <f t="shared" si="10"/>
        <v>0</v>
      </c>
      <c r="G169" s="83">
        <f>PRODUCTOS[[#This Row],[CONTEO INICIAL]]+E169-F169</f>
        <v>4</v>
      </c>
      <c r="K169" s="19" t="str">
        <f t="shared" si="8"/>
        <v/>
      </c>
      <c r="P169" s="19" t="str">
        <f t="shared" si="11"/>
        <v/>
      </c>
    </row>
    <row r="170" spans="2:16" ht="15.75" customHeight="1" x14ac:dyDescent="0.2">
      <c r="B170" s="27" t="s">
        <v>336</v>
      </c>
      <c r="C170" s="25" t="s">
        <v>337</v>
      </c>
      <c r="D170" s="41"/>
      <c r="E170" s="38">
        <f t="shared" si="9"/>
        <v>0</v>
      </c>
      <c r="F170" s="38">
        <f t="shared" si="10"/>
        <v>0</v>
      </c>
      <c r="G170" s="37">
        <f>PRODUCTOS[[#This Row],[CONTEO INICIAL]]+E170-F170</f>
        <v>0</v>
      </c>
      <c r="K170" s="19" t="str">
        <f t="shared" si="8"/>
        <v/>
      </c>
      <c r="P170" s="19" t="str">
        <f t="shared" si="11"/>
        <v/>
      </c>
    </row>
    <row r="171" spans="2:16" ht="15.75" customHeight="1" x14ac:dyDescent="0.2">
      <c r="B171" s="27" t="s">
        <v>338</v>
      </c>
      <c r="C171" s="25" t="s">
        <v>339</v>
      </c>
      <c r="D171" s="41"/>
      <c r="E171" s="38">
        <f t="shared" si="9"/>
        <v>0</v>
      </c>
      <c r="F171" s="38">
        <f t="shared" si="10"/>
        <v>0</v>
      </c>
      <c r="G171" s="37">
        <f>PRODUCTOS[[#This Row],[CONTEO INICIAL]]+E171-F171</f>
        <v>0</v>
      </c>
      <c r="K171" s="19" t="str">
        <f t="shared" si="8"/>
        <v/>
      </c>
      <c r="P171" s="19" t="str">
        <f t="shared" si="11"/>
        <v/>
      </c>
    </row>
    <row r="172" spans="2:16" ht="15.75" customHeight="1" x14ac:dyDescent="0.2">
      <c r="B172" s="27" t="s">
        <v>340</v>
      </c>
      <c r="C172" s="25" t="s">
        <v>341</v>
      </c>
      <c r="D172" s="41"/>
      <c r="E172" s="38">
        <f t="shared" si="9"/>
        <v>0</v>
      </c>
      <c r="F172" s="38">
        <f t="shared" si="10"/>
        <v>0</v>
      </c>
      <c r="G172" s="37">
        <f>PRODUCTOS[[#This Row],[CONTEO INICIAL]]+E172-F172</f>
        <v>0</v>
      </c>
      <c r="K172" s="19" t="str">
        <f t="shared" si="8"/>
        <v/>
      </c>
      <c r="P172" s="19" t="str">
        <f t="shared" si="11"/>
        <v/>
      </c>
    </row>
    <row r="173" spans="2:16" ht="15.75" customHeight="1" x14ac:dyDescent="0.2">
      <c r="B173" s="27" t="s">
        <v>342</v>
      </c>
      <c r="C173" s="25" t="s">
        <v>343</v>
      </c>
      <c r="D173" s="41"/>
      <c r="E173" s="38">
        <f t="shared" si="9"/>
        <v>0</v>
      </c>
      <c r="F173" s="38">
        <f t="shared" si="10"/>
        <v>0</v>
      </c>
      <c r="G173" s="37">
        <f>PRODUCTOS[[#This Row],[CONTEO INICIAL]]+E173-F173</f>
        <v>0</v>
      </c>
      <c r="K173" s="19" t="str">
        <f t="shared" si="8"/>
        <v/>
      </c>
      <c r="P173" s="19" t="str">
        <f t="shared" si="11"/>
        <v/>
      </c>
    </row>
    <row r="174" spans="2:16" ht="15.75" customHeight="1" x14ac:dyDescent="0.2">
      <c r="B174" s="27" t="s">
        <v>344</v>
      </c>
      <c r="C174" s="25" t="s">
        <v>345</v>
      </c>
      <c r="D174" s="41"/>
      <c r="E174" s="38">
        <f t="shared" si="9"/>
        <v>0</v>
      </c>
      <c r="F174" s="38">
        <f t="shared" si="10"/>
        <v>0</v>
      </c>
      <c r="G174" s="37">
        <f>PRODUCTOS[[#This Row],[CONTEO INICIAL]]+E174-F174</f>
        <v>0</v>
      </c>
      <c r="K174" s="19" t="str">
        <f t="shared" si="8"/>
        <v/>
      </c>
      <c r="P174" s="19" t="str">
        <f t="shared" si="11"/>
        <v/>
      </c>
    </row>
    <row r="175" spans="2:16" ht="15.75" customHeight="1" x14ac:dyDescent="0.2">
      <c r="B175" s="73" t="s">
        <v>346</v>
      </c>
      <c r="C175" s="74" t="s">
        <v>347</v>
      </c>
      <c r="D175" s="75">
        <v>156</v>
      </c>
      <c r="E175" s="76">
        <f t="shared" si="9"/>
        <v>0</v>
      </c>
      <c r="F175" s="76">
        <f t="shared" si="10"/>
        <v>0</v>
      </c>
      <c r="G175" s="77">
        <f>PRODUCTOS[[#This Row],[CONTEO INICIAL]]+E175-F175</f>
        <v>156</v>
      </c>
      <c r="K175" s="19" t="str">
        <f t="shared" si="8"/>
        <v/>
      </c>
      <c r="P175" s="19" t="str">
        <f t="shared" si="11"/>
        <v/>
      </c>
    </row>
    <row r="176" spans="2:16" ht="15.75" customHeight="1" x14ac:dyDescent="0.2">
      <c r="B176" s="73" t="s">
        <v>348</v>
      </c>
      <c r="C176" s="74" t="s">
        <v>349</v>
      </c>
      <c r="D176" s="75">
        <v>1</v>
      </c>
      <c r="E176" s="76">
        <f t="shared" si="9"/>
        <v>0</v>
      </c>
      <c r="F176" s="76">
        <f t="shared" si="10"/>
        <v>0</v>
      </c>
      <c r="G176" s="77">
        <f>PRODUCTOS[[#This Row],[CONTEO INICIAL]]+E176-F176</f>
        <v>1</v>
      </c>
      <c r="K176" s="19" t="str">
        <f t="shared" si="8"/>
        <v/>
      </c>
      <c r="P176" s="19" t="str">
        <f t="shared" si="11"/>
        <v/>
      </c>
    </row>
    <row r="177" spans="2:16" ht="15.75" customHeight="1" x14ac:dyDescent="0.2">
      <c r="B177" s="73" t="s">
        <v>350</v>
      </c>
      <c r="C177" s="74" t="s">
        <v>351</v>
      </c>
      <c r="D177" s="75">
        <v>42</v>
      </c>
      <c r="E177" s="76">
        <f t="shared" si="9"/>
        <v>0</v>
      </c>
      <c r="F177" s="76">
        <f t="shared" si="10"/>
        <v>0</v>
      </c>
      <c r="G177" s="77">
        <f>PRODUCTOS[[#This Row],[CONTEO INICIAL]]+E177-F177</f>
        <v>42</v>
      </c>
      <c r="K177" s="19" t="str">
        <f t="shared" si="8"/>
        <v/>
      </c>
      <c r="P177" s="19" t="str">
        <f t="shared" si="11"/>
        <v/>
      </c>
    </row>
    <row r="178" spans="2:16" ht="15.75" customHeight="1" x14ac:dyDescent="0.2">
      <c r="B178" s="73" t="s">
        <v>352</v>
      </c>
      <c r="C178" s="74" t="s">
        <v>353</v>
      </c>
      <c r="D178" s="75">
        <v>2</v>
      </c>
      <c r="E178" s="76">
        <f t="shared" si="9"/>
        <v>0</v>
      </c>
      <c r="F178" s="76">
        <f t="shared" si="10"/>
        <v>0</v>
      </c>
      <c r="G178" s="77">
        <f>PRODUCTOS[[#This Row],[CONTEO INICIAL]]+E178-F178</f>
        <v>2</v>
      </c>
      <c r="K178" s="19" t="str">
        <f t="shared" si="8"/>
        <v/>
      </c>
      <c r="P178" s="19" t="str">
        <f t="shared" si="11"/>
        <v/>
      </c>
    </row>
    <row r="179" spans="2:16" ht="15.75" customHeight="1" x14ac:dyDescent="0.2">
      <c r="B179" s="73" t="s">
        <v>620</v>
      </c>
      <c r="C179" s="74" t="s">
        <v>621</v>
      </c>
      <c r="D179" s="74" t="s">
        <v>622</v>
      </c>
      <c r="E179" s="76">
        <f>SUMIF($J$4:$J$5000, B179, $M$4:$M$5000)</f>
        <v>0</v>
      </c>
      <c r="F179" s="76">
        <f>SUMIF($O$4:$O$5000, B179, $R$4:$R$5000)</f>
        <v>0</v>
      </c>
      <c r="G179" s="77">
        <f>PRODUCTOS[[#This Row],[CONTEO INICIAL]]+E179-F179</f>
        <v>4</v>
      </c>
      <c r="K179" s="19" t="str">
        <f t="shared" si="8"/>
        <v/>
      </c>
      <c r="P179" s="19" t="str">
        <f t="shared" si="11"/>
        <v/>
      </c>
    </row>
    <row r="180" spans="2:16" ht="15.75" customHeight="1" x14ac:dyDescent="0.2">
      <c r="B180" s="27" t="s">
        <v>354</v>
      </c>
      <c r="C180" s="25" t="s">
        <v>355</v>
      </c>
      <c r="D180" s="41"/>
      <c r="E180" s="38">
        <f t="shared" si="9"/>
        <v>0</v>
      </c>
      <c r="F180" s="38">
        <f t="shared" si="10"/>
        <v>0</v>
      </c>
      <c r="G180" s="37">
        <f>PRODUCTOS[[#This Row],[CONTEO INICIAL]]+E180-F180</f>
        <v>0</v>
      </c>
      <c r="K180" s="19" t="str">
        <f t="shared" si="8"/>
        <v/>
      </c>
      <c r="P180" s="19" t="str">
        <f t="shared" si="11"/>
        <v/>
      </c>
    </row>
    <row r="181" spans="2:16" ht="15.75" customHeight="1" x14ac:dyDescent="0.2">
      <c r="B181" s="27" t="s">
        <v>334</v>
      </c>
      <c r="C181" s="25" t="s">
        <v>335</v>
      </c>
      <c r="D181" s="41"/>
      <c r="E181" s="38">
        <f t="shared" si="9"/>
        <v>0</v>
      </c>
      <c r="F181" s="38">
        <f t="shared" si="10"/>
        <v>0</v>
      </c>
      <c r="G181" s="37">
        <f>PRODUCTOS[[#This Row],[CONTEO INICIAL]]+E181-F181</f>
        <v>0</v>
      </c>
      <c r="K181" s="19" t="str">
        <f t="shared" si="8"/>
        <v/>
      </c>
      <c r="P181" s="19" t="str">
        <f t="shared" si="11"/>
        <v/>
      </c>
    </row>
    <row r="182" spans="2:16" ht="15.75" customHeight="1" x14ac:dyDescent="0.2">
      <c r="B182" s="27" t="s">
        <v>356</v>
      </c>
      <c r="C182" s="25" t="s">
        <v>317</v>
      </c>
      <c r="D182" s="41"/>
      <c r="E182" s="38">
        <f t="shared" si="9"/>
        <v>0</v>
      </c>
      <c r="F182" s="38">
        <f t="shared" si="10"/>
        <v>0</v>
      </c>
      <c r="G182" s="37">
        <f>PRODUCTOS[[#This Row],[CONTEO INICIAL]]+E182-F182</f>
        <v>0</v>
      </c>
      <c r="K182" s="19" t="str">
        <f t="shared" si="8"/>
        <v/>
      </c>
      <c r="P182" s="19" t="str">
        <f t="shared" si="11"/>
        <v/>
      </c>
    </row>
    <row r="183" spans="2:16" ht="15.75" customHeight="1" x14ac:dyDescent="0.2">
      <c r="B183" s="27" t="s">
        <v>357</v>
      </c>
      <c r="C183" s="25" t="s">
        <v>358</v>
      </c>
      <c r="D183" s="41"/>
      <c r="E183" s="38">
        <f t="shared" si="9"/>
        <v>0</v>
      </c>
      <c r="F183" s="38">
        <f t="shared" si="10"/>
        <v>0</v>
      </c>
      <c r="G183" s="37">
        <f>PRODUCTOS[[#This Row],[CONTEO INICIAL]]+E183-F183</f>
        <v>0</v>
      </c>
      <c r="K183" s="19" t="str">
        <f t="shared" si="8"/>
        <v/>
      </c>
      <c r="P183" s="19" t="str">
        <f t="shared" si="11"/>
        <v/>
      </c>
    </row>
    <row r="184" spans="2:16" ht="15.75" customHeight="1" x14ac:dyDescent="0.2">
      <c r="B184" s="27" t="s">
        <v>359</v>
      </c>
      <c r="C184" s="25" t="s">
        <v>360</v>
      </c>
      <c r="D184" s="41"/>
      <c r="E184" s="38">
        <f t="shared" si="9"/>
        <v>0</v>
      </c>
      <c r="F184" s="38">
        <f t="shared" si="10"/>
        <v>0</v>
      </c>
      <c r="G184" s="37">
        <f>PRODUCTOS[[#This Row],[CONTEO INICIAL]]+E184-F184</f>
        <v>0</v>
      </c>
      <c r="K184" s="19" t="str">
        <f t="shared" si="8"/>
        <v/>
      </c>
      <c r="P184" s="19" t="str">
        <f t="shared" si="11"/>
        <v/>
      </c>
    </row>
    <row r="185" spans="2:16" ht="15.75" customHeight="1" x14ac:dyDescent="0.2">
      <c r="B185" s="27" t="s">
        <v>361</v>
      </c>
      <c r="C185" s="25" t="s">
        <v>362</v>
      </c>
      <c r="D185" s="41"/>
      <c r="E185" s="38">
        <f t="shared" si="9"/>
        <v>0</v>
      </c>
      <c r="F185" s="38">
        <f t="shared" si="10"/>
        <v>0</v>
      </c>
      <c r="G185" s="37">
        <f>PRODUCTOS[[#This Row],[CONTEO INICIAL]]+E185-F185</f>
        <v>0</v>
      </c>
      <c r="K185" s="19" t="str">
        <f t="shared" si="8"/>
        <v/>
      </c>
      <c r="P185" s="19" t="str">
        <f t="shared" si="11"/>
        <v/>
      </c>
    </row>
    <row r="186" spans="2:16" ht="15.75" customHeight="1" x14ac:dyDescent="0.2">
      <c r="B186" s="27" t="s">
        <v>363</v>
      </c>
      <c r="C186" s="25" t="s">
        <v>364</v>
      </c>
      <c r="D186" s="41"/>
      <c r="E186" s="38">
        <f t="shared" si="9"/>
        <v>0</v>
      </c>
      <c r="F186" s="38">
        <f t="shared" si="10"/>
        <v>0</v>
      </c>
      <c r="G186" s="37">
        <f>PRODUCTOS[[#This Row],[CONTEO INICIAL]]+E186-F186</f>
        <v>0</v>
      </c>
      <c r="K186" s="19" t="str">
        <f t="shared" si="8"/>
        <v/>
      </c>
      <c r="P186" s="19" t="str">
        <f t="shared" si="11"/>
        <v/>
      </c>
    </row>
    <row r="187" spans="2:16" ht="15.75" customHeight="1" x14ac:dyDescent="0.2">
      <c r="B187" s="73" t="s">
        <v>604</v>
      </c>
      <c r="C187" s="74" t="s">
        <v>366</v>
      </c>
      <c r="D187" s="75">
        <v>1</v>
      </c>
      <c r="E187" s="76">
        <f t="shared" si="9"/>
        <v>0</v>
      </c>
      <c r="F187" s="76">
        <f t="shared" si="10"/>
        <v>0</v>
      </c>
      <c r="G187" s="77">
        <f>PRODUCTOS[[#This Row],[CONTEO INICIAL]]+E187-F187</f>
        <v>1</v>
      </c>
      <c r="K187" s="19" t="str">
        <f t="shared" si="8"/>
        <v/>
      </c>
      <c r="P187" s="19" t="str">
        <f t="shared" si="11"/>
        <v/>
      </c>
    </row>
    <row r="188" spans="2:16" ht="15.75" customHeight="1" x14ac:dyDescent="0.2">
      <c r="B188" s="27" t="s">
        <v>375</v>
      </c>
      <c r="C188" s="25" t="s">
        <v>368</v>
      </c>
      <c r="D188" s="41"/>
      <c r="E188" s="38">
        <f t="shared" si="9"/>
        <v>0</v>
      </c>
      <c r="F188" s="38">
        <f t="shared" si="10"/>
        <v>0</v>
      </c>
      <c r="G188" s="37">
        <f>PRODUCTOS[[#This Row],[CONTEO INICIAL]]+E188-F188</f>
        <v>0</v>
      </c>
      <c r="K188" s="19" t="str">
        <f t="shared" si="8"/>
        <v/>
      </c>
      <c r="P188" s="19" t="str">
        <f t="shared" si="11"/>
        <v/>
      </c>
    </row>
    <row r="189" spans="2:16" ht="15.75" customHeight="1" x14ac:dyDescent="0.2">
      <c r="B189" s="73" t="s">
        <v>369</v>
      </c>
      <c r="C189" s="74" t="s">
        <v>370</v>
      </c>
      <c r="D189" s="75">
        <v>4</v>
      </c>
      <c r="E189" s="76">
        <f t="shared" si="9"/>
        <v>0</v>
      </c>
      <c r="F189" s="76">
        <f t="shared" si="10"/>
        <v>0</v>
      </c>
      <c r="G189" s="77">
        <f>PRODUCTOS[[#This Row],[CONTEO INICIAL]]+E189-F189</f>
        <v>4</v>
      </c>
      <c r="K189" s="19" t="str">
        <f t="shared" si="8"/>
        <v/>
      </c>
      <c r="P189" s="19" t="str">
        <f t="shared" si="11"/>
        <v/>
      </c>
    </row>
    <row r="190" spans="2:16" ht="15.75" customHeight="1" x14ac:dyDescent="0.2">
      <c r="B190" s="73" t="s">
        <v>371</v>
      </c>
      <c r="C190" s="74" t="s">
        <v>372</v>
      </c>
      <c r="D190" s="75">
        <v>61</v>
      </c>
      <c r="E190" s="76">
        <f t="shared" si="9"/>
        <v>0</v>
      </c>
      <c r="F190" s="76">
        <f t="shared" si="10"/>
        <v>0</v>
      </c>
      <c r="G190" s="77">
        <f>PRODUCTOS[[#This Row],[CONTEO INICIAL]]+E190-F190</f>
        <v>61</v>
      </c>
      <c r="K190" s="19" t="str">
        <f t="shared" si="8"/>
        <v/>
      </c>
      <c r="P190" s="19" t="str">
        <f t="shared" si="11"/>
        <v/>
      </c>
    </row>
    <row r="191" spans="2:16" ht="15.75" customHeight="1" x14ac:dyDescent="0.2">
      <c r="B191" s="27" t="s">
        <v>373</v>
      </c>
      <c r="C191" s="25" t="s">
        <v>374</v>
      </c>
      <c r="D191" s="41"/>
      <c r="E191" s="38">
        <f t="shared" si="9"/>
        <v>0</v>
      </c>
      <c r="F191" s="38">
        <f t="shared" si="10"/>
        <v>0</v>
      </c>
      <c r="G191" s="37">
        <f>PRODUCTOS[[#This Row],[CONTEO INICIAL]]+E191-F191</f>
        <v>0</v>
      </c>
      <c r="K191" s="19" t="str">
        <f t="shared" si="8"/>
        <v/>
      </c>
      <c r="P191" s="19" t="str">
        <f t="shared" si="11"/>
        <v/>
      </c>
    </row>
    <row r="192" spans="2:16" s="70" customFormat="1" ht="15.75" customHeight="1" x14ac:dyDescent="0.2">
      <c r="B192" s="27" t="s">
        <v>375</v>
      </c>
      <c r="C192" s="25" t="s">
        <v>366</v>
      </c>
      <c r="D192" s="41"/>
      <c r="E192" s="38">
        <f t="shared" si="9"/>
        <v>0</v>
      </c>
      <c r="F192" s="38">
        <f t="shared" si="10"/>
        <v>0</v>
      </c>
      <c r="G192" s="37">
        <f>PRODUCTOS[[#This Row],[CONTEO INICIAL]]+E192-F192</f>
        <v>0</v>
      </c>
      <c r="H192"/>
      <c r="K192" s="84" t="str">
        <f t="shared" si="8"/>
        <v/>
      </c>
      <c r="P192" s="84" t="str">
        <f t="shared" si="11"/>
        <v/>
      </c>
    </row>
    <row r="193" spans="2:16" s="70" customFormat="1" ht="15.75" customHeight="1" x14ac:dyDescent="0.2">
      <c r="B193" s="27" t="s">
        <v>376</v>
      </c>
      <c r="C193" s="25" t="s">
        <v>377</v>
      </c>
      <c r="D193" s="41"/>
      <c r="E193" s="38">
        <f t="shared" si="9"/>
        <v>0</v>
      </c>
      <c r="F193" s="38">
        <f t="shared" si="10"/>
        <v>0</v>
      </c>
      <c r="G193" s="37">
        <f>PRODUCTOS[[#This Row],[CONTEO INICIAL]]+E193-F193</f>
        <v>0</v>
      </c>
      <c r="H193"/>
      <c r="K193" s="84" t="str">
        <f t="shared" si="8"/>
        <v/>
      </c>
      <c r="P193" s="84" t="str">
        <f t="shared" si="11"/>
        <v/>
      </c>
    </row>
    <row r="194" spans="2:16" ht="15.75" customHeight="1" x14ac:dyDescent="0.2">
      <c r="B194" s="79" t="s">
        <v>378</v>
      </c>
      <c r="C194" s="80" t="s">
        <v>379</v>
      </c>
      <c r="D194" s="81">
        <v>165</v>
      </c>
      <c r="E194" s="82">
        <f t="shared" si="9"/>
        <v>0</v>
      </c>
      <c r="F194" s="82">
        <f t="shared" si="10"/>
        <v>0</v>
      </c>
      <c r="G194" s="83">
        <f>PRODUCTOS[[#This Row],[CONTEO INICIAL]]+E194-F194</f>
        <v>165</v>
      </c>
      <c r="H194" s="70"/>
      <c r="K194" s="19" t="str">
        <f t="shared" si="8"/>
        <v/>
      </c>
      <c r="P194" s="19" t="str">
        <f t="shared" si="11"/>
        <v/>
      </c>
    </row>
    <row r="195" spans="2:16" ht="15.75" customHeight="1" x14ac:dyDescent="0.2">
      <c r="B195" s="79" t="s">
        <v>380</v>
      </c>
      <c r="C195" s="80" t="s">
        <v>381</v>
      </c>
      <c r="D195" s="81">
        <v>329</v>
      </c>
      <c r="E195" s="82">
        <f t="shared" si="9"/>
        <v>0</v>
      </c>
      <c r="F195" s="82">
        <f t="shared" si="10"/>
        <v>0</v>
      </c>
      <c r="G195" s="83">
        <f>PRODUCTOS[[#This Row],[CONTEO INICIAL]]+E195-F195</f>
        <v>329</v>
      </c>
      <c r="H195" s="70"/>
      <c r="K195" s="19" t="str">
        <f t="shared" si="8"/>
        <v/>
      </c>
      <c r="P195" s="19" t="str">
        <f t="shared" si="11"/>
        <v/>
      </c>
    </row>
    <row r="196" spans="2:16" ht="15.75" customHeight="1" x14ac:dyDescent="0.2">
      <c r="B196" s="27" t="s">
        <v>382</v>
      </c>
      <c r="C196" s="25" t="s">
        <v>383</v>
      </c>
      <c r="D196" s="41"/>
      <c r="E196" s="38">
        <f t="shared" si="9"/>
        <v>0</v>
      </c>
      <c r="F196" s="38">
        <f t="shared" si="10"/>
        <v>0</v>
      </c>
      <c r="G196" s="37">
        <f>PRODUCTOS[[#This Row],[CONTEO INICIAL]]+E196-F196</f>
        <v>0</v>
      </c>
      <c r="K196" s="19" t="str">
        <f t="shared" ref="K196:K259" si="12">IF(J196="", "", IFERROR(VLOOKUP(J196&amp;"", $B$4:$C$5005, 2, FALSE), "NO EXISTE"))</f>
        <v/>
      </c>
      <c r="P196" s="19" t="str">
        <f t="shared" si="11"/>
        <v/>
      </c>
    </row>
    <row r="197" spans="2:16" ht="15.75" customHeight="1" x14ac:dyDescent="0.2">
      <c r="B197" s="27" t="s">
        <v>384</v>
      </c>
      <c r="C197" s="25" t="s">
        <v>385</v>
      </c>
      <c r="D197" s="41"/>
      <c r="E197" s="38">
        <f t="shared" si="9"/>
        <v>0</v>
      </c>
      <c r="F197" s="38">
        <f t="shared" si="10"/>
        <v>0</v>
      </c>
      <c r="G197" s="37">
        <f>PRODUCTOS[[#This Row],[CONTEO INICIAL]]+E197-F197</f>
        <v>0</v>
      </c>
      <c r="K197" s="19" t="str">
        <f t="shared" si="12"/>
        <v/>
      </c>
      <c r="P197" s="19" t="str">
        <f t="shared" si="11"/>
        <v/>
      </c>
    </row>
    <row r="198" spans="2:16" ht="15.75" customHeight="1" x14ac:dyDescent="0.2">
      <c r="B198" s="27" t="s">
        <v>386</v>
      </c>
      <c r="C198" s="25" t="s">
        <v>387</v>
      </c>
      <c r="D198" s="41"/>
      <c r="E198" s="38">
        <f t="shared" si="9"/>
        <v>0</v>
      </c>
      <c r="F198" s="38">
        <f t="shared" si="10"/>
        <v>0</v>
      </c>
      <c r="G198" s="37">
        <f>PRODUCTOS[[#This Row],[CONTEO INICIAL]]+E198-F198</f>
        <v>0</v>
      </c>
      <c r="K198" s="19" t="str">
        <f t="shared" si="12"/>
        <v/>
      </c>
      <c r="P198" s="19" t="str">
        <f t="shared" si="11"/>
        <v/>
      </c>
    </row>
    <row r="199" spans="2:16" ht="15.75" customHeight="1" x14ac:dyDescent="0.2">
      <c r="B199" s="27" t="s">
        <v>388</v>
      </c>
      <c r="C199" s="25" t="s">
        <v>389</v>
      </c>
      <c r="D199" s="41"/>
      <c r="E199" s="38">
        <f t="shared" ref="E199:E262" si="13">SUMIF($J$4:$J$5000, B199, $M$4:$M$5000)</f>
        <v>0</v>
      </c>
      <c r="F199" s="38">
        <f t="shared" ref="F199:F262" si="14">SUMIF($O$4:$O$5000, B199, $R$4:$R$5000)</f>
        <v>0</v>
      </c>
      <c r="G199" s="37">
        <f>PRODUCTOS[[#This Row],[CONTEO INICIAL]]+E199-F199</f>
        <v>0</v>
      </c>
      <c r="K199" s="19" t="str">
        <f t="shared" si="12"/>
        <v/>
      </c>
      <c r="P199" s="19" t="str">
        <f t="shared" si="11"/>
        <v/>
      </c>
    </row>
    <row r="200" spans="2:16" ht="15.75" customHeight="1" x14ac:dyDescent="0.2">
      <c r="B200" s="27" t="s">
        <v>390</v>
      </c>
      <c r="C200" s="25" t="s">
        <v>391</v>
      </c>
      <c r="D200" s="41"/>
      <c r="E200" s="38">
        <f t="shared" si="13"/>
        <v>0</v>
      </c>
      <c r="F200" s="38">
        <f t="shared" si="14"/>
        <v>0</v>
      </c>
      <c r="G200" s="37">
        <f>PRODUCTOS[[#This Row],[CONTEO INICIAL]]+E200-F200</f>
        <v>0</v>
      </c>
      <c r="K200" s="19" t="str">
        <f t="shared" si="12"/>
        <v/>
      </c>
      <c r="P200" s="19" t="str">
        <f t="shared" si="11"/>
        <v/>
      </c>
    </row>
    <row r="201" spans="2:16" ht="15.75" customHeight="1" x14ac:dyDescent="0.2">
      <c r="B201" s="27" t="s">
        <v>392</v>
      </c>
      <c r="C201" s="25" t="s">
        <v>393</v>
      </c>
      <c r="D201" s="41"/>
      <c r="E201" s="38">
        <f t="shared" si="13"/>
        <v>0</v>
      </c>
      <c r="F201" s="38">
        <f t="shared" si="14"/>
        <v>0</v>
      </c>
      <c r="G201" s="37">
        <f>PRODUCTOS[[#This Row],[CONTEO INICIAL]]+E201-F201</f>
        <v>0</v>
      </c>
      <c r="K201" s="19" t="str">
        <f t="shared" si="12"/>
        <v/>
      </c>
      <c r="P201" s="19" t="str">
        <f t="shared" si="11"/>
        <v/>
      </c>
    </row>
    <row r="202" spans="2:16" ht="15.75" customHeight="1" x14ac:dyDescent="0.2">
      <c r="B202" s="27" t="s">
        <v>398</v>
      </c>
      <c r="C202" s="25" t="s">
        <v>399</v>
      </c>
      <c r="D202" s="41"/>
      <c r="E202" s="38">
        <f t="shared" si="13"/>
        <v>0</v>
      </c>
      <c r="F202" s="38">
        <f t="shared" si="14"/>
        <v>0</v>
      </c>
      <c r="G202" s="37">
        <f>PRODUCTOS[[#This Row],[CONTEO INICIAL]]+E202-F202</f>
        <v>0</v>
      </c>
      <c r="K202" s="19" t="str">
        <f t="shared" si="12"/>
        <v/>
      </c>
      <c r="P202" s="19" t="str">
        <f t="shared" ref="P202:P265" si="15">IF(O202="", "", IFERROR(VLOOKUP(O202&amp;"", $B$4:$C$5005, 2, FALSE), "NO EXISTE"))</f>
        <v/>
      </c>
    </row>
    <row r="203" spans="2:16" ht="15.75" customHeight="1" x14ac:dyDescent="0.2">
      <c r="B203" s="27" t="s">
        <v>400</v>
      </c>
      <c r="C203" s="25" t="s">
        <v>401</v>
      </c>
      <c r="D203" s="41"/>
      <c r="E203" s="38">
        <f t="shared" si="13"/>
        <v>0</v>
      </c>
      <c r="F203" s="38">
        <f t="shared" si="14"/>
        <v>0</v>
      </c>
      <c r="G203" s="37">
        <f>PRODUCTOS[[#This Row],[CONTEO INICIAL]]+E203-F203</f>
        <v>0</v>
      </c>
      <c r="K203" s="19" t="str">
        <f t="shared" si="12"/>
        <v/>
      </c>
      <c r="P203" s="19" t="str">
        <f t="shared" si="15"/>
        <v/>
      </c>
    </row>
    <row r="204" spans="2:16" ht="15.75" customHeight="1" x14ac:dyDescent="0.2">
      <c r="B204" s="27" t="s">
        <v>402</v>
      </c>
      <c r="C204" s="25" t="s">
        <v>403</v>
      </c>
      <c r="D204" s="41"/>
      <c r="E204" s="38">
        <f t="shared" si="13"/>
        <v>0</v>
      </c>
      <c r="F204" s="38">
        <f t="shared" si="14"/>
        <v>0</v>
      </c>
      <c r="G204" s="37">
        <f>PRODUCTOS[[#This Row],[CONTEO INICIAL]]+E204-F204</f>
        <v>0</v>
      </c>
      <c r="K204" s="19" t="str">
        <f t="shared" si="12"/>
        <v/>
      </c>
      <c r="P204" s="19" t="str">
        <f t="shared" si="15"/>
        <v/>
      </c>
    </row>
    <row r="205" spans="2:16" ht="15.75" customHeight="1" x14ac:dyDescent="0.2">
      <c r="B205" s="27" t="s">
        <v>404</v>
      </c>
      <c r="C205" s="25" t="s">
        <v>405</v>
      </c>
      <c r="D205" s="41"/>
      <c r="E205" s="38">
        <f t="shared" si="13"/>
        <v>0</v>
      </c>
      <c r="F205" s="38">
        <f t="shared" si="14"/>
        <v>0</v>
      </c>
      <c r="G205" s="37">
        <f>PRODUCTOS[[#This Row],[CONTEO INICIAL]]+E205-F205</f>
        <v>0</v>
      </c>
      <c r="K205" s="19" t="str">
        <f t="shared" si="12"/>
        <v/>
      </c>
      <c r="P205" s="19" t="str">
        <f t="shared" si="15"/>
        <v/>
      </c>
    </row>
    <row r="206" spans="2:16" ht="15.75" customHeight="1" x14ac:dyDescent="0.2">
      <c r="B206" s="73" t="s">
        <v>406</v>
      </c>
      <c r="C206" s="74" t="s">
        <v>407</v>
      </c>
      <c r="D206" s="75">
        <v>50</v>
      </c>
      <c r="E206" s="76">
        <f t="shared" si="13"/>
        <v>0</v>
      </c>
      <c r="F206" s="76">
        <f t="shared" si="14"/>
        <v>0</v>
      </c>
      <c r="G206" s="77">
        <f>PRODUCTOS[[#This Row],[CONTEO INICIAL]]+E206-F206</f>
        <v>50</v>
      </c>
      <c r="K206" s="19" t="str">
        <f t="shared" si="12"/>
        <v/>
      </c>
      <c r="P206" s="19" t="str">
        <f t="shared" si="15"/>
        <v/>
      </c>
    </row>
    <row r="207" spans="2:16" ht="15.75" customHeight="1" x14ac:dyDescent="0.2">
      <c r="B207" s="73" t="s">
        <v>408</v>
      </c>
      <c r="C207" s="74" t="s">
        <v>409</v>
      </c>
      <c r="D207" s="75">
        <v>30</v>
      </c>
      <c r="E207" s="76">
        <f t="shared" si="13"/>
        <v>0</v>
      </c>
      <c r="F207" s="76">
        <f t="shared" si="14"/>
        <v>20</v>
      </c>
      <c r="G207" s="77">
        <f>PRODUCTOS[[#This Row],[CONTEO INICIAL]]+E207-F207</f>
        <v>10</v>
      </c>
      <c r="H207" t="s">
        <v>593</v>
      </c>
      <c r="K207" s="19" t="str">
        <f t="shared" si="12"/>
        <v/>
      </c>
      <c r="P207" s="19" t="str">
        <f t="shared" si="15"/>
        <v/>
      </c>
    </row>
    <row r="208" spans="2:16" ht="15.75" customHeight="1" x14ac:dyDescent="0.2">
      <c r="B208" s="27" t="s">
        <v>410</v>
      </c>
      <c r="C208" s="25" t="s">
        <v>411</v>
      </c>
      <c r="D208" s="41"/>
      <c r="E208" s="38">
        <f t="shared" si="13"/>
        <v>0</v>
      </c>
      <c r="F208" s="38">
        <f t="shared" si="14"/>
        <v>0</v>
      </c>
      <c r="G208" s="37">
        <f>PRODUCTOS[[#This Row],[CONTEO INICIAL]]+E208-F208</f>
        <v>0</v>
      </c>
      <c r="K208" s="19" t="str">
        <f t="shared" si="12"/>
        <v/>
      </c>
      <c r="P208" s="19" t="str">
        <f t="shared" si="15"/>
        <v/>
      </c>
    </row>
    <row r="209" spans="2:16" ht="15.75" customHeight="1" x14ac:dyDescent="0.2">
      <c r="B209" s="73" t="s">
        <v>412</v>
      </c>
      <c r="C209" s="74" t="s">
        <v>413</v>
      </c>
      <c r="D209" s="75">
        <v>70</v>
      </c>
      <c r="E209" s="76">
        <f t="shared" si="13"/>
        <v>0</v>
      </c>
      <c r="F209" s="76">
        <f t="shared" si="14"/>
        <v>0</v>
      </c>
      <c r="G209" s="77">
        <f>PRODUCTOS[[#This Row],[CONTEO INICIAL]]+E209-F209</f>
        <v>70</v>
      </c>
      <c r="K209" s="19" t="str">
        <f t="shared" si="12"/>
        <v/>
      </c>
      <c r="P209" s="19" t="str">
        <f t="shared" si="15"/>
        <v/>
      </c>
    </row>
    <row r="210" spans="2:16" ht="15.75" customHeight="1" x14ac:dyDescent="0.2">
      <c r="B210" s="73" t="s">
        <v>414</v>
      </c>
      <c r="C210" s="74" t="s">
        <v>415</v>
      </c>
      <c r="D210" s="75">
        <v>80</v>
      </c>
      <c r="E210" s="76">
        <f t="shared" si="13"/>
        <v>0</v>
      </c>
      <c r="F210" s="76">
        <f t="shared" si="14"/>
        <v>0</v>
      </c>
      <c r="G210" s="77">
        <f>PRODUCTOS[[#This Row],[CONTEO INICIAL]]+E210-F210</f>
        <v>80</v>
      </c>
      <c r="K210" s="19" t="str">
        <f t="shared" si="12"/>
        <v/>
      </c>
      <c r="P210" s="19" t="str">
        <f t="shared" si="15"/>
        <v/>
      </c>
    </row>
    <row r="211" spans="2:16" ht="15.75" customHeight="1" x14ac:dyDescent="0.2">
      <c r="B211" s="27" t="s">
        <v>416</v>
      </c>
      <c r="C211" s="25" t="s">
        <v>417</v>
      </c>
      <c r="D211" s="41"/>
      <c r="E211" s="38">
        <f t="shared" si="13"/>
        <v>0</v>
      </c>
      <c r="F211" s="38">
        <f t="shared" si="14"/>
        <v>0</v>
      </c>
      <c r="G211" s="37">
        <f>PRODUCTOS[[#This Row],[CONTEO INICIAL]]+E211-F211</f>
        <v>0</v>
      </c>
      <c r="K211" s="19" t="str">
        <f t="shared" si="12"/>
        <v/>
      </c>
      <c r="P211" s="19" t="str">
        <f t="shared" si="15"/>
        <v/>
      </c>
    </row>
    <row r="212" spans="2:16" ht="15.75" customHeight="1" x14ac:dyDescent="0.2">
      <c r="B212" s="73" t="s">
        <v>418</v>
      </c>
      <c r="C212" s="74" t="s">
        <v>419</v>
      </c>
      <c r="D212" s="75">
        <v>50</v>
      </c>
      <c r="E212" s="76">
        <f t="shared" si="13"/>
        <v>0</v>
      </c>
      <c r="F212" s="76">
        <f t="shared" si="14"/>
        <v>0</v>
      </c>
      <c r="G212" s="77">
        <f>PRODUCTOS[[#This Row],[CONTEO INICIAL]]+E212-F212</f>
        <v>50</v>
      </c>
      <c r="K212" s="19" t="str">
        <f t="shared" si="12"/>
        <v/>
      </c>
      <c r="P212" s="19" t="str">
        <f t="shared" si="15"/>
        <v/>
      </c>
    </row>
    <row r="213" spans="2:16" ht="15.75" customHeight="1" x14ac:dyDescent="0.2">
      <c r="B213" s="27" t="s">
        <v>420</v>
      </c>
      <c r="C213" s="25" t="s">
        <v>421</v>
      </c>
      <c r="D213" s="41"/>
      <c r="E213" s="38">
        <f t="shared" si="13"/>
        <v>0</v>
      </c>
      <c r="F213" s="38">
        <f t="shared" si="14"/>
        <v>0</v>
      </c>
      <c r="G213" s="37">
        <f>PRODUCTOS[[#This Row],[CONTEO INICIAL]]+E213-F213</f>
        <v>0</v>
      </c>
      <c r="K213" s="19" t="str">
        <f t="shared" si="12"/>
        <v/>
      </c>
      <c r="P213" s="19" t="str">
        <f t="shared" si="15"/>
        <v/>
      </c>
    </row>
    <row r="214" spans="2:16" ht="15.75" customHeight="1" x14ac:dyDescent="0.2">
      <c r="B214" s="27" t="s">
        <v>422</v>
      </c>
      <c r="C214" s="25" t="s">
        <v>423</v>
      </c>
      <c r="D214" s="41"/>
      <c r="E214" s="38">
        <f t="shared" si="13"/>
        <v>0</v>
      </c>
      <c r="F214" s="38">
        <f t="shared" si="14"/>
        <v>0</v>
      </c>
      <c r="G214" s="37">
        <f>PRODUCTOS[[#This Row],[CONTEO INICIAL]]+E214-F214</f>
        <v>0</v>
      </c>
      <c r="K214" s="19" t="str">
        <f t="shared" si="12"/>
        <v/>
      </c>
      <c r="P214" s="19" t="str">
        <f t="shared" si="15"/>
        <v/>
      </c>
    </row>
    <row r="215" spans="2:16" ht="15.75" customHeight="1" x14ac:dyDescent="0.2">
      <c r="B215" s="27" t="s">
        <v>424</v>
      </c>
      <c r="C215" s="25" t="s">
        <v>425</v>
      </c>
      <c r="D215" s="41"/>
      <c r="E215" s="38">
        <f t="shared" si="13"/>
        <v>0</v>
      </c>
      <c r="F215" s="38">
        <f t="shared" si="14"/>
        <v>0</v>
      </c>
      <c r="G215" s="37">
        <f>PRODUCTOS[[#This Row],[CONTEO INICIAL]]+E215-F215</f>
        <v>0</v>
      </c>
      <c r="K215" s="19" t="str">
        <f t="shared" si="12"/>
        <v/>
      </c>
      <c r="P215" s="19" t="str">
        <f t="shared" si="15"/>
        <v/>
      </c>
    </row>
    <row r="216" spans="2:16" ht="15.75" customHeight="1" x14ac:dyDescent="0.2">
      <c r="B216" s="27" t="s">
        <v>426</v>
      </c>
      <c r="C216" s="25" t="s">
        <v>427</v>
      </c>
      <c r="D216" s="41"/>
      <c r="E216" s="38">
        <f t="shared" si="13"/>
        <v>0</v>
      </c>
      <c r="F216" s="38">
        <f t="shared" si="14"/>
        <v>0</v>
      </c>
      <c r="G216" s="37">
        <f>PRODUCTOS[[#This Row],[CONTEO INICIAL]]+E216-F216</f>
        <v>0</v>
      </c>
      <c r="K216" s="19" t="str">
        <f t="shared" si="12"/>
        <v/>
      </c>
      <c r="P216" s="19" t="str">
        <f t="shared" si="15"/>
        <v/>
      </c>
    </row>
    <row r="217" spans="2:16" ht="15.75" customHeight="1" x14ac:dyDescent="0.2">
      <c r="B217" s="44" t="s">
        <v>575</v>
      </c>
      <c r="C217" s="45"/>
      <c r="D217" s="50">
        <v>20</v>
      </c>
      <c r="E217" s="47">
        <f t="shared" si="13"/>
        <v>0</v>
      </c>
      <c r="F217" s="47">
        <f t="shared" si="14"/>
        <v>0</v>
      </c>
      <c r="G217" s="48">
        <f>PRODUCTOS[[#This Row],[CONTEO INICIAL]]+E217-F217</f>
        <v>20</v>
      </c>
      <c r="K217" s="19" t="str">
        <f t="shared" si="12"/>
        <v/>
      </c>
      <c r="P217" s="19" t="str">
        <f t="shared" si="15"/>
        <v/>
      </c>
    </row>
    <row r="218" spans="2:16" ht="15.75" customHeight="1" x14ac:dyDescent="0.2">
      <c r="B218" s="27" t="s">
        <v>428</v>
      </c>
      <c r="C218" s="25" t="s">
        <v>429</v>
      </c>
      <c r="D218" s="41"/>
      <c r="E218" s="38">
        <f t="shared" si="13"/>
        <v>0</v>
      </c>
      <c r="F218" s="38">
        <f t="shared" si="14"/>
        <v>0</v>
      </c>
      <c r="G218" s="37">
        <f>PRODUCTOS[[#This Row],[CONTEO INICIAL]]+E218-F218</f>
        <v>0</v>
      </c>
      <c r="K218" s="19" t="str">
        <f t="shared" si="12"/>
        <v/>
      </c>
      <c r="P218" s="19" t="str">
        <f t="shared" si="15"/>
        <v/>
      </c>
    </row>
    <row r="219" spans="2:16" ht="15.75" customHeight="1" x14ac:dyDescent="0.2">
      <c r="B219" s="27" t="s">
        <v>430</v>
      </c>
      <c r="C219" s="25" t="s">
        <v>431</v>
      </c>
      <c r="D219" s="41"/>
      <c r="E219" s="38">
        <f t="shared" si="13"/>
        <v>0</v>
      </c>
      <c r="F219" s="38">
        <f t="shared" si="14"/>
        <v>0</v>
      </c>
      <c r="G219" s="37">
        <f>PRODUCTOS[[#This Row],[CONTEO INICIAL]]+E219-F219</f>
        <v>0</v>
      </c>
      <c r="K219" s="19" t="str">
        <f t="shared" si="12"/>
        <v/>
      </c>
      <c r="P219" s="19" t="str">
        <f t="shared" si="15"/>
        <v/>
      </c>
    </row>
    <row r="220" spans="2:16" ht="15.75" customHeight="1" x14ac:dyDescent="0.2">
      <c r="B220" s="27" t="s">
        <v>432</v>
      </c>
      <c r="C220" s="25" t="s">
        <v>433</v>
      </c>
      <c r="D220" s="41"/>
      <c r="E220" s="38">
        <f t="shared" si="13"/>
        <v>0</v>
      </c>
      <c r="F220" s="38">
        <f t="shared" si="14"/>
        <v>0</v>
      </c>
      <c r="G220" s="37">
        <f>PRODUCTOS[[#This Row],[CONTEO INICIAL]]+E220-F220</f>
        <v>0</v>
      </c>
      <c r="K220" s="19" t="str">
        <f t="shared" si="12"/>
        <v/>
      </c>
      <c r="P220" s="19" t="str">
        <f t="shared" si="15"/>
        <v/>
      </c>
    </row>
    <row r="221" spans="2:16" ht="15.75" customHeight="1" x14ac:dyDescent="0.2">
      <c r="B221" s="27" t="s">
        <v>434</v>
      </c>
      <c r="C221" s="25" t="s">
        <v>435</v>
      </c>
      <c r="D221" s="41"/>
      <c r="E221" s="38">
        <f t="shared" si="13"/>
        <v>0</v>
      </c>
      <c r="F221" s="38">
        <f t="shared" si="14"/>
        <v>0</v>
      </c>
      <c r="G221" s="37">
        <f>PRODUCTOS[[#This Row],[CONTEO INICIAL]]+E221-F221</f>
        <v>0</v>
      </c>
      <c r="K221" s="19" t="str">
        <f t="shared" si="12"/>
        <v/>
      </c>
      <c r="P221" s="19" t="str">
        <f t="shared" si="15"/>
        <v/>
      </c>
    </row>
    <row r="222" spans="2:16" ht="15.75" customHeight="1" x14ac:dyDescent="0.2">
      <c r="B222" s="44" t="s">
        <v>436</v>
      </c>
      <c r="C222" s="45" t="s">
        <v>437</v>
      </c>
      <c r="D222" s="46">
        <v>480</v>
      </c>
      <c r="E222" s="47">
        <f t="shared" si="13"/>
        <v>0</v>
      </c>
      <c r="F222" s="47">
        <f t="shared" si="14"/>
        <v>210</v>
      </c>
      <c r="G222" s="48">
        <f>PRODUCTOS[[#This Row],[CONTEO INICIAL]]+E222-F222</f>
        <v>270</v>
      </c>
      <c r="K222" s="19" t="str">
        <f t="shared" si="12"/>
        <v/>
      </c>
      <c r="P222" s="19" t="str">
        <f t="shared" si="15"/>
        <v/>
      </c>
    </row>
    <row r="223" spans="2:16" ht="15.75" customHeight="1" x14ac:dyDescent="0.2">
      <c r="B223" s="44" t="s">
        <v>438</v>
      </c>
      <c r="C223" s="45" t="s">
        <v>439</v>
      </c>
      <c r="D223" s="46">
        <v>119</v>
      </c>
      <c r="E223" s="47">
        <f t="shared" si="13"/>
        <v>0</v>
      </c>
      <c r="F223" s="47">
        <f t="shared" si="14"/>
        <v>0</v>
      </c>
      <c r="G223" s="48">
        <f>PRODUCTOS[[#This Row],[CONTEO INICIAL]]+E223-F223</f>
        <v>119</v>
      </c>
      <c r="K223" s="19" t="str">
        <f t="shared" si="12"/>
        <v/>
      </c>
      <c r="P223" s="19" t="str">
        <f t="shared" si="15"/>
        <v/>
      </c>
    </row>
    <row r="224" spans="2:16" ht="15.75" customHeight="1" x14ac:dyDescent="0.2">
      <c r="B224" s="44" t="s">
        <v>440</v>
      </c>
      <c r="C224" s="45" t="s">
        <v>441</v>
      </c>
      <c r="D224" s="46">
        <v>89</v>
      </c>
      <c r="E224" s="47">
        <f t="shared" si="13"/>
        <v>0</v>
      </c>
      <c r="F224" s="47">
        <f t="shared" si="14"/>
        <v>0</v>
      </c>
      <c r="G224" s="48">
        <f>PRODUCTOS[[#This Row],[CONTEO INICIAL]]+E224-F224</f>
        <v>89</v>
      </c>
      <c r="K224" s="19" t="str">
        <f t="shared" si="12"/>
        <v/>
      </c>
      <c r="P224" s="19" t="str">
        <f t="shared" si="15"/>
        <v/>
      </c>
    </row>
    <row r="225" spans="2:16" ht="15.75" customHeight="1" x14ac:dyDescent="0.2">
      <c r="B225" s="27" t="s">
        <v>442</v>
      </c>
      <c r="C225" s="25" t="s">
        <v>443</v>
      </c>
      <c r="D225" s="41"/>
      <c r="E225" s="38">
        <f t="shared" si="13"/>
        <v>0</v>
      </c>
      <c r="F225" s="38">
        <f t="shared" si="14"/>
        <v>0</v>
      </c>
      <c r="G225" s="37">
        <f>PRODUCTOS[[#This Row],[CONTEO INICIAL]]+E225-F225</f>
        <v>0</v>
      </c>
      <c r="K225" s="19" t="str">
        <f t="shared" si="12"/>
        <v/>
      </c>
      <c r="P225" s="19" t="str">
        <f t="shared" si="15"/>
        <v/>
      </c>
    </row>
    <row r="226" spans="2:16" ht="15.75" customHeight="1" x14ac:dyDescent="0.2">
      <c r="B226" s="27" t="s">
        <v>444</v>
      </c>
      <c r="C226" s="25" t="s">
        <v>445</v>
      </c>
      <c r="D226" s="41"/>
      <c r="E226" s="38">
        <f t="shared" si="13"/>
        <v>0</v>
      </c>
      <c r="F226" s="38">
        <f t="shared" si="14"/>
        <v>0</v>
      </c>
      <c r="G226" s="37">
        <f>PRODUCTOS[[#This Row],[CONTEO INICIAL]]+E226-F226</f>
        <v>0</v>
      </c>
      <c r="K226" s="19" t="str">
        <f t="shared" si="12"/>
        <v/>
      </c>
      <c r="P226" s="19" t="str">
        <f t="shared" si="15"/>
        <v/>
      </c>
    </row>
    <row r="227" spans="2:16" ht="15.75" customHeight="1" x14ac:dyDescent="0.2">
      <c r="B227" s="27" t="s">
        <v>446</v>
      </c>
      <c r="C227" s="25" t="s">
        <v>447</v>
      </c>
      <c r="D227" s="41"/>
      <c r="E227" s="38">
        <f t="shared" si="13"/>
        <v>0</v>
      </c>
      <c r="F227" s="38">
        <f t="shared" si="14"/>
        <v>0</v>
      </c>
      <c r="G227" s="37">
        <f>PRODUCTOS[[#This Row],[CONTEO INICIAL]]+E227-F227</f>
        <v>0</v>
      </c>
      <c r="K227" s="19" t="str">
        <f t="shared" si="12"/>
        <v/>
      </c>
      <c r="P227" s="19" t="str">
        <f t="shared" si="15"/>
        <v/>
      </c>
    </row>
    <row r="228" spans="2:16" ht="15.75" customHeight="1" x14ac:dyDescent="0.2">
      <c r="B228" s="60" t="s">
        <v>448</v>
      </c>
      <c r="C228" s="61" t="s">
        <v>449</v>
      </c>
      <c r="D228" s="59">
        <v>700</v>
      </c>
      <c r="E228" s="62">
        <f t="shared" si="13"/>
        <v>0</v>
      </c>
      <c r="F228" s="62">
        <f t="shared" si="14"/>
        <v>0</v>
      </c>
      <c r="G228" s="63">
        <f>PRODUCTOS[[#This Row],[CONTEO INICIAL]]+E228-F228</f>
        <v>700</v>
      </c>
      <c r="K228" s="19" t="str">
        <f t="shared" si="12"/>
        <v/>
      </c>
      <c r="P228" s="19" t="str">
        <f t="shared" si="15"/>
        <v/>
      </c>
    </row>
    <row r="229" spans="2:16" ht="15.75" customHeight="1" x14ac:dyDescent="0.2">
      <c r="B229" s="60" t="s">
        <v>450</v>
      </c>
      <c r="C229" s="61" t="s">
        <v>451</v>
      </c>
      <c r="D229" s="59">
        <v>445</v>
      </c>
      <c r="E229" s="62">
        <f t="shared" si="13"/>
        <v>0</v>
      </c>
      <c r="F229" s="62">
        <f t="shared" si="14"/>
        <v>0</v>
      </c>
      <c r="G229" s="63">
        <f>PRODUCTOS[[#This Row],[CONTEO INICIAL]]+E229-F229</f>
        <v>445</v>
      </c>
      <c r="H229" s="65" t="s">
        <v>581</v>
      </c>
      <c r="K229" s="19" t="str">
        <f t="shared" si="12"/>
        <v/>
      </c>
      <c r="P229" s="19" t="str">
        <f t="shared" si="15"/>
        <v/>
      </c>
    </row>
    <row r="230" spans="2:16" ht="15.75" customHeight="1" x14ac:dyDescent="0.2">
      <c r="B230" s="79" t="s">
        <v>452</v>
      </c>
      <c r="C230" s="80" t="s">
        <v>453</v>
      </c>
      <c r="D230" s="81">
        <v>958</v>
      </c>
      <c r="E230" s="82">
        <f t="shared" si="13"/>
        <v>0</v>
      </c>
      <c r="F230" s="82">
        <f t="shared" si="14"/>
        <v>0</v>
      </c>
      <c r="G230" s="83">
        <f>PRODUCTOS[[#This Row],[CONTEO INICIAL]]+E230-F230</f>
        <v>958</v>
      </c>
      <c r="K230" s="19" t="str">
        <f t="shared" si="12"/>
        <v/>
      </c>
      <c r="P230" s="19" t="str">
        <f t="shared" si="15"/>
        <v/>
      </c>
    </row>
    <row r="231" spans="2:16" ht="15.75" customHeight="1" x14ac:dyDescent="0.2">
      <c r="B231" s="73" t="s">
        <v>454</v>
      </c>
      <c r="C231" s="74" t="s">
        <v>455</v>
      </c>
      <c r="D231" s="75">
        <v>14</v>
      </c>
      <c r="E231" s="76">
        <f t="shared" si="13"/>
        <v>0</v>
      </c>
      <c r="F231" s="76">
        <f t="shared" si="14"/>
        <v>0</v>
      </c>
      <c r="G231" s="77">
        <f>PRODUCTOS[[#This Row],[CONTEO INICIAL]]+E231-F231</f>
        <v>14</v>
      </c>
      <c r="K231" s="19" t="str">
        <f t="shared" si="12"/>
        <v/>
      </c>
      <c r="P231" s="19" t="str">
        <f t="shared" si="15"/>
        <v/>
      </c>
    </row>
    <row r="232" spans="2:16" ht="15.75" customHeight="1" x14ac:dyDescent="0.2">
      <c r="B232" s="27" t="s">
        <v>456</v>
      </c>
      <c r="C232" s="25" t="s">
        <v>457</v>
      </c>
      <c r="D232" s="41"/>
      <c r="E232" s="38">
        <f t="shared" si="13"/>
        <v>0</v>
      </c>
      <c r="F232" s="38">
        <f t="shared" si="14"/>
        <v>0</v>
      </c>
      <c r="G232" s="37">
        <f>PRODUCTOS[[#This Row],[CONTEO INICIAL]]+E232-F232</f>
        <v>0</v>
      </c>
      <c r="K232" s="19" t="str">
        <f t="shared" si="12"/>
        <v/>
      </c>
      <c r="P232" s="19" t="str">
        <f t="shared" si="15"/>
        <v/>
      </c>
    </row>
    <row r="233" spans="2:16" ht="15.75" customHeight="1" x14ac:dyDescent="0.2">
      <c r="B233" s="73" t="s">
        <v>458</v>
      </c>
      <c r="C233" s="74" t="s">
        <v>459</v>
      </c>
      <c r="D233" s="75">
        <v>30</v>
      </c>
      <c r="E233" s="76">
        <f t="shared" si="13"/>
        <v>0</v>
      </c>
      <c r="F233" s="76">
        <f t="shared" si="14"/>
        <v>0</v>
      </c>
      <c r="G233" s="77">
        <f>PRODUCTOS[[#This Row],[CONTEO INICIAL]]+E233-F233</f>
        <v>30</v>
      </c>
      <c r="K233" s="19" t="str">
        <f t="shared" si="12"/>
        <v/>
      </c>
      <c r="P233" s="19" t="str">
        <f t="shared" si="15"/>
        <v/>
      </c>
    </row>
    <row r="234" spans="2:16" ht="15.75" customHeight="1" x14ac:dyDescent="0.2">
      <c r="B234" s="73" t="s">
        <v>460</v>
      </c>
      <c r="C234" s="74" t="s">
        <v>461</v>
      </c>
      <c r="D234" s="75">
        <v>19</v>
      </c>
      <c r="E234" s="76">
        <f t="shared" si="13"/>
        <v>0</v>
      </c>
      <c r="F234" s="76">
        <f t="shared" si="14"/>
        <v>0</v>
      </c>
      <c r="G234" s="77">
        <f>PRODUCTOS[[#This Row],[CONTEO INICIAL]]+E234-F234</f>
        <v>19</v>
      </c>
      <c r="K234" s="19" t="str">
        <f t="shared" si="12"/>
        <v/>
      </c>
      <c r="P234" s="19" t="str">
        <f t="shared" si="15"/>
        <v/>
      </c>
    </row>
    <row r="235" spans="2:16" ht="15.75" customHeight="1" x14ac:dyDescent="0.2">
      <c r="B235" s="44" t="s">
        <v>462</v>
      </c>
      <c r="C235" s="45" t="s">
        <v>463</v>
      </c>
      <c r="D235" s="46">
        <v>113</v>
      </c>
      <c r="E235" s="47">
        <f t="shared" si="13"/>
        <v>0</v>
      </c>
      <c r="F235" s="47">
        <f t="shared" si="14"/>
        <v>0</v>
      </c>
      <c r="G235" s="48">
        <f>PRODUCTOS[[#This Row],[CONTEO INICIAL]]+E235-F235</f>
        <v>113</v>
      </c>
      <c r="K235" s="19" t="str">
        <f t="shared" si="12"/>
        <v/>
      </c>
      <c r="P235" s="19" t="str">
        <f t="shared" si="15"/>
        <v/>
      </c>
    </row>
    <row r="236" spans="2:16" ht="15.75" customHeight="1" x14ac:dyDescent="0.2">
      <c r="B236" s="27" t="s">
        <v>464</v>
      </c>
      <c r="C236" s="25" t="s">
        <v>465</v>
      </c>
      <c r="D236" s="41"/>
      <c r="E236" s="38">
        <f t="shared" si="13"/>
        <v>0</v>
      </c>
      <c r="F236" s="38">
        <f t="shared" si="14"/>
        <v>0</v>
      </c>
      <c r="G236" s="37">
        <f>PRODUCTOS[[#This Row],[CONTEO INICIAL]]+E236-F236</f>
        <v>0</v>
      </c>
      <c r="K236" s="19" t="str">
        <f t="shared" si="12"/>
        <v/>
      </c>
      <c r="P236" s="19" t="str">
        <f t="shared" si="15"/>
        <v/>
      </c>
    </row>
    <row r="237" spans="2:16" ht="15.75" customHeight="1" x14ac:dyDescent="0.2">
      <c r="B237" s="73" t="s">
        <v>466</v>
      </c>
      <c r="C237" s="74" t="s">
        <v>467</v>
      </c>
      <c r="D237" s="75">
        <v>50</v>
      </c>
      <c r="E237" s="76">
        <f t="shared" si="13"/>
        <v>0</v>
      </c>
      <c r="F237" s="76">
        <f t="shared" si="14"/>
        <v>0</v>
      </c>
      <c r="G237" s="77">
        <f>PRODUCTOS[[#This Row],[CONTEO INICIAL]]+E237-F237</f>
        <v>50</v>
      </c>
      <c r="K237" s="19" t="str">
        <f t="shared" si="12"/>
        <v/>
      </c>
      <c r="P237" s="19" t="str">
        <f t="shared" si="15"/>
        <v/>
      </c>
    </row>
    <row r="238" spans="2:16" ht="15.75" customHeight="1" x14ac:dyDescent="0.2">
      <c r="B238" s="73" t="s">
        <v>468</v>
      </c>
      <c r="C238" s="74" t="s">
        <v>469</v>
      </c>
      <c r="D238" s="75">
        <v>50</v>
      </c>
      <c r="E238" s="76">
        <f t="shared" si="13"/>
        <v>0</v>
      </c>
      <c r="F238" s="76">
        <f t="shared" si="14"/>
        <v>0</v>
      </c>
      <c r="G238" s="77">
        <f>PRODUCTOS[[#This Row],[CONTEO INICIAL]]+E238-F238</f>
        <v>50</v>
      </c>
      <c r="K238" s="19" t="str">
        <f t="shared" si="12"/>
        <v/>
      </c>
      <c r="P238" s="19" t="str">
        <f t="shared" si="15"/>
        <v/>
      </c>
    </row>
    <row r="239" spans="2:16" ht="15.75" customHeight="1" x14ac:dyDescent="0.2">
      <c r="B239" s="73" t="s">
        <v>470</v>
      </c>
      <c r="C239" s="74" t="s">
        <v>471</v>
      </c>
      <c r="D239" s="75"/>
      <c r="E239" s="76">
        <f t="shared" si="13"/>
        <v>0</v>
      </c>
      <c r="F239" s="76">
        <f t="shared" si="14"/>
        <v>0</v>
      </c>
      <c r="G239" s="77">
        <f>PRODUCTOS[[#This Row],[CONTEO INICIAL]]+E239-F239</f>
        <v>0</v>
      </c>
      <c r="K239" s="19" t="str">
        <f t="shared" si="12"/>
        <v/>
      </c>
      <c r="P239" s="19" t="str">
        <f t="shared" si="15"/>
        <v/>
      </c>
    </row>
    <row r="240" spans="2:16" ht="15.75" customHeight="1" x14ac:dyDescent="0.2">
      <c r="B240" s="44" t="s">
        <v>472</v>
      </c>
      <c r="C240" s="45" t="s">
        <v>473</v>
      </c>
      <c r="D240" s="46">
        <v>34</v>
      </c>
      <c r="E240" s="47">
        <f t="shared" si="13"/>
        <v>0</v>
      </c>
      <c r="F240" s="47">
        <f t="shared" si="14"/>
        <v>0</v>
      </c>
      <c r="G240" s="48">
        <f>PRODUCTOS[[#This Row],[CONTEO INICIAL]]+E240-F240</f>
        <v>34</v>
      </c>
      <c r="K240" s="19" t="str">
        <f t="shared" si="12"/>
        <v/>
      </c>
      <c r="P240" s="19" t="str">
        <f t="shared" si="15"/>
        <v/>
      </c>
    </row>
    <row r="241" spans="2:16" ht="15.75" customHeight="1" x14ac:dyDescent="0.2">
      <c r="B241" s="73" t="s">
        <v>591</v>
      </c>
      <c r="C241" s="74" t="s">
        <v>395</v>
      </c>
      <c r="D241" s="75">
        <v>1000</v>
      </c>
      <c r="E241" s="76">
        <f t="shared" si="13"/>
        <v>0</v>
      </c>
      <c r="F241" s="76">
        <f t="shared" si="14"/>
        <v>0</v>
      </c>
      <c r="G241" s="77">
        <f>PRODUCTOS[[#This Row],[CONTEO INICIAL]]+E241-F241</f>
        <v>1000</v>
      </c>
      <c r="K241" s="19" t="str">
        <f t="shared" si="12"/>
        <v/>
      </c>
      <c r="P241" s="19" t="str">
        <f t="shared" si="15"/>
        <v/>
      </c>
    </row>
    <row r="242" spans="2:16" ht="15.75" customHeight="1" x14ac:dyDescent="0.2">
      <c r="B242" s="27" t="s">
        <v>474</v>
      </c>
      <c r="C242" s="25" t="s">
        <v>475</v>
      </c>
      <c r="D242" s="41"/>
      <c r="E242" s="38">
        <f t="shared" si="13"/>
        <v>0</v>
      </c>
      <c r="F242" s="38">
        <f t="shared" si="14"/>
        <v>125</v>
      </c>
      <c r="G242" s="37">
        <f>PRODUCTOS[[#This Row],[CONTEO INICIAL]]+E242-F242</f>
        <v>-125</v>
      </c>
      <c r="K242" s="19" t="str">
        <f t="shared" si="12"/>
        <v/>
      </c>
      <c r="P242" s="19" t="str">
        <f t="shared" si="15"/>
        <v/>
      </c>
    </row>
    <row r="243" spans="2:16" ht="15.75" customHeight="1" x14ac:dyDescent="0.2">
      <c r="B243" s="104" t="s">
        <v>476</v>
      </c>
      <c r="C243" s="45" t="s">
        <v>477</v>
      </c>
      <c r="D243" s="46">
        <v>210</v>
      </c>
      <c r="E243" s="47">
        <f t="shared" si="13"/>
        <v>0</v>
      </c>
      <c r="F243" s="47">
        <f t="shared" si="14"/>
        <v>0</v>
      </c>
      <c r="G243" s="48">
        <f>PRODUCTOS[[#This Row],[CONTEO INICIAL]]+E243-F243</f>
        <v>210</v>
      </c>
      <c r="K243" s="19" t="str">
        <f t="shared" si="12"/>
        <v/>
      </c>
      <c r="P243" s="19" t="str">
        <f t="shared" si="15"/>
        <v/>
      </c>
    </row>
    <row r="244" spans="2:16" ht="15.75" customHeight="1" x14ac:dyDescent="0.2">
      <c r="B244" s="73" t="s">
        <v>589</v>
      </c>
      <c r="C244" s="74" t="s">
        <v>397</v>
      </c>
      <c r="D244" s="75">
        <v>100</v>
      </c>
      <c r="E244" s="76">
        <f t="shared" si="13"/>
        <v>0</v>
      </c>
      <c r="F244" s="76">
        <f t="shared" si="14"/>
        <v>0</v>
      </c>
      <c r="G244" s="77">
        <f>PRODUCTOS[[#This Row],[CONTEO INICIAL]]+E244-F244</f>
        <v>100</v>
      </c>
      <c r="K244" s="19" t="str">
        <f t="shared" si="12"/>
        <v/>
      </c>
      <c r="P244" s="19" t="str">
        <f t="shared" si="15"/>
        <v/>
      </c>
    </row>
    <row r="245" spans="2:16" ht="15.75" customHeight="1" x14ac:dyDescent="0.2">
      <c r="B245" s="104" t="s">
        <v>478</v>
      </c>
      <c r="C245" s="74" t="s">
        <v>479</v>
      </c>
      <c r="D245" s="75">
        <v>32</v>
      </c>
      <c r="E245" s="76">
        <f t="shared" si="13"/>
        <v>0</v>
      </c>
      <c r="F245" s="76">
        <f t="shared" si="14"/>
        <v>0</v>
      </c>
      <c r="G245" s="77">
        <f>PRODUCTOS[[#This Row],[CONTEO INICIAL]]+E245-F245</f>
        <v>32</v>
      </c>
      <c r="K245" s="19" t="str">
        <f t="shared" si="12"/>
        <v/>
      </c>
      <c r="P245" s="19" t="str">
        <f t="shared" si="15"/>
        <v/>
      </c>
    </row>
    <row r="246" spans="2:16" ht="15.75" customHeight="1" x14ac:dyDescent="0.2">
      <c r="B246" s="104" t="s">
        <v>480</v>
      </c>
      <c r="C246" s="74" t="s">
        <v>481</v>
      </c>
      <c r="D246" s="75">
        <v>4</v>
      </c>
      <c r="E246" s="76">
        <f t="shared" si="13"/>
        <v>0</v>
      </c>
      <c r="F246" s="76">
        <f t="shared" si="14"/>
        <v>0</v>
      </c>
      <c r="G246" s="77">
        <f>PRODUCTOS[[#This Row],[CONTEO INICIAL]]+E246-F246</f>
        <v>4</v>
      </c>
      <c r="K246" s="19" t="str">
        <f t="shared" si="12"/>
        <v/>
      </c>
      <c r="P246" s="19" t="str">
        <f t="shared" si="15"/>
        <v/>
      </c>
    </row>
    <row r="247" spans="2:16" ht="15.75" customHeight="1" x14ac:dyDescent="0.2">
      <c r="B247" s="27" t="s">
        <v>482</v>
      </c>
      <c r="C247" s="25" t="s">
        <v>483</v>
      </c>
      <c r="D247" s="41"/>
      <c r="E247" s="38">
        <f t="shared" si="13"/>
        <v>0</v>
      </c>
      <c r="F247" s="38">
        <f t="shared" si="14"/>
        <v>0</v>
      </c>
      <c r="G247" s="37">
        <f>PRODUCTOS[[#This Row],[CONTEO INICIAL]]+E247-F247</f>
        <v>0</v>
      </c>
      <c r="K247" s="19" t="str">
        <f t="shared" si="12"/>
        <v/>
      </c>
      <c r="P247" s="19" t="str">
        <f t="shared" si="15"/>
        <v/>
      </c>
    </row>
    <row r="248" spans="2:16" ht="15.75" customHeight="1" x14ac:dyDescent="0.2">
      <c r="B248" s="104" t="s">
        <v>484</v>
      </c>
      <c r="C248" s="61" t="s">
        <v>485</v>
      </c>
      <c r="D248" s="59">
        <v>32</v>
      </c>
      <c r="E248" s="62">
        <f t="shared" si="13"/>
        <v>0</v>
      </c>
      <c r="F248" s="62">
        <f t="shared" si="14"/>
        <v>0</v>
      </c>
      <c r="G248" s="63">
        <f>PRODUCTOS[[#This Row],[CONTEO INICIAL]]+E248-F248</f>
        <v>32</v>
      </c>
      <c r="H248" t="s">
        <v>595</v>
      </c>
      <c r="K248" s="19" t="str">
        <f t="shared" si="12"/>
        <v/>
      </c>
      <c r="P248" s="19" t="str">
        <f t="shared" si="15"/>
        <v/>
      </c>
    </row>
    <row r="249" spans="2:16" ht="15.75" customHeight="1" x14ac:dyDescent="0.2">
      <c r="B249" s="104" t="s">
        <v>486</v>
      </c>
      <c r="C249" s="74" t="s">
        <v>487</v>
      </c>
      <c r="D249" s="75">
        <v>30</v>
      </c>
      <c r="E249" s="76">
        <f t="shared" si="13"/>
        <v>0</v>
      </c>
      <c r="F249" s="76">
        <f t="shared" si="14"/>
        <v>0</v>
      </c>
      <c r="G249" s="77">
        <f>PRODUCTOS[[#This Row],[CONTEO INICIAL]]+E249-F249</f>
        <v>30</v>
      </c>
      <c r="K249" s="19" t="str">
        <f t="shared" si="12"/>
        <v/>
      </c>
      <c r="P249" s="19" t="str">
        <f t="shared" si="15"/>
        <v/>
      </c>
    </row>
    <row r="250" spans="2:16" ht="15.75" customHeight="1" x14ac:dyDescent="0.2">
      <c r="B250" s="104" t="s">
        <v>488</v>
      </c>
      <c r="C250" s="74" t="s">
        <v>489</v>
      </c>
      <c r="D250" s="75">
        <v>30</v>
      </c>
      <c r="E250" s="76">
        <f t="shared" si="13"/>
        <v>0</v>
      </c>
      <c r="F250" s="76">
        <f t="shared" si="14"/>
        <v>0</v>
      </c>
      <c r="G250" s="77">
        <f>PRODUCTOS[[#This Row],[CONTEO INICIAL]]+E250-F250</f>
        <v>30</v>
      </c>
      <c r="K250" s="19" t="str">
        <f t="shared" si="12"/>
        <v/>
      </c>
      <c r="P250" s="19" t="str">
        <f t="shared" si="15"/>
        <v/>
      </c>
    </row>
    <row r="251" spans="2:16" ht="15.75" customHeight="1" x14ac:dyDescent="0.2">
      <c r="B251" s="104" t="s">
        <v>490</v>
      </c>
      <c r="C251" s="25" t="s">
        <v>491</v>
      </c>
      <c r="D251" s="41"/>
      <c r="E251" s="38">
        <f t="shared" si="13"/>
        <v>0</v>
      </c>
      <c r="F251" s="38">
        <f t="shared" si="14"/>
        <v>0</v>
      </c>
      <c r="G251" s="37">
        <f>PRODUCTOS[[#This Row],[CONTEO INICIAL]]+E251-F251</f>
        <v>0</v>
      </c>
      <c r="K251" s="19" t="str">
        <f t="shared" si="12"/>
        <v/>
      </c>
      <c r="P251" s="19" t="str">
        <f t="shared" si="15"/>
        <v/>
      </c>
    </row>
    <row r="252" spans="2:16" ht="15.75" customHeight="1" x14ac:dyDescent="0.2">
      <c r="B252" s="104" t="s">
        <v>492</v>
      </c>
      <c r="C252" s="25" t="s">
        <v>493</v>
      </c>
      <c r="D252" s="41"/>
      <c r="E252" s="38">
        <f t="shared" si="13"/>
        <v>0</v>
      </c>
      <c r="F252" s="38">
        <f t="shared" si="14"/>
        <v>0</v>
      </c>
      <c r="G252" s="37">
        <f>PRODUCTOS[[#This Row],[CONTEO INICIAL]]+E252-F252</f>
        <v>0</v>
      </c>
      <c r="K252" s="19" t="str">
        <f t="shared" si="12"/>
        <v/>
      </c>
      <c r="P252" s="19" t="str">
        <f t="shared" si="15"/>
        <v/>
      </c>
    </row>
    <row r="253" spans="2:16" ht="15.75" customHeight="1" x14ac:dyDescent="0.2">
      <c r="B253" s="73" t="s">
        <v>494</v>
      </c>
      <c r="C253" s="74" t="s">
        <v>495</v>
      </c>
      <c r="D253" s="75">
        <v>49</v>
      </c>
      <c r="E253" s="76">
        <f t="shared" si="13"/>
        <v>0</v>
      </c>
      <c r="F253" s="76">
        <f t="shared" si="14"/>
        <v>20</v>
      </c>
      <c r="G253" s="77">
        <f>PRODUCTOS[[#This Row],[CONTEO INICIAL]]+E253-F253</f>
        <v>29</v>
      </c>
      <c r="H253" t="s">
        <v>596</v>
      </c>
      <c r="K253" s="19" t="str">
        <f t="shared" si="12"/>
        <v/>
      </c>
      <c r="P253" s="19" t="str">
        <f t="shared" si="15"/>
        <v/>
      </c>
    </row>
    <row r="254" spans="2:16" ht="15.75" customHeight="1" x14ac:dyDescent="0.2">
      <c r="B254" s="104" t="s">
        <v>496</v>
      </c>
      <c r="C254" s="80" t="s">
        <v>497</v>
      </c>
      <c r="D254" s="81">
        <v>126</v>
      </c>
      <c r="E254" s="82">
        <f t="shared" si="13"/>
        <v>0</v>
      </c>
      <c r="F254" s="82">
        <f t="shared" si="14"/>
        <v>0</v>
      </c>
      <c r="G254" s="83">
        <f>PRODUCTOS[[#This Row],[CONTEO INICIAL]]+E254-F254</f>
        <v>126</v>
      </c>
      <c r="K254" s="19" t="str">
        <f t="shared" si="12"/>
        <v/>
      </c>
      <c r="P254" s="19" t="str">
        <f t="shared" si="15"/>
        <v/>
      </c>
    </row>
    <row r="255" spans="2:16" ht="15.75" customHeight="1" x14ac:dyDescent="0.2">
      <c r="B255" s="104" t="s">
        <v>498</v>
      </c>
      <c r="C255" s="25" t="s">
        <v>499</v>
      </c>
      <c r="D255" s="41"/>
      <c r="E255" s="38">
        <f t="shared" si="13"/>
        <v>0</v>
      </c>
      <c r="F255" s="38">
        <f t="shared" si="14"/>
        <v>0</v>
      </c>
      <c r="G255" s="37">
        <f>PRODUCTOS[[#This Row],[CONTEO INICIAL]]+E255-F255</f>
        <v>0</v>
      </c>
      <c r="K255" s="19" t="str">
        <f t="shared" si="12"/>
        <v/>
      </c>
      <c r="P255" s="19" t="str">
        <f t="shared" si="15"/>
        <v/>
      </c>
    </row>
    <row r="256" spans="2:16" ht="15.75" customHeight="1" x14ac:dyDescent="0.2">
      <c r="B256" s="104" t="s">
        <v>500</v>
      </c>
      <c r="C256" s="74" t="s">
        <v>501</v>
      </c>
      <c r="D256" s="75">
        <v>13</v>
      </c>
      <c r="E256" s="76">
        <f t="shared" si="13"/>
        <v>0</v>
      </c>
      <c r="F256" s="76">
        <f t="shared" si="14"/>
        <v>0</v>
      </c>
      <c r="G256" s="77">
        <f>PRODUCTOS[[#This Row],[CONTEO INICIAL]]+E256-F256</f>
        <v>13</v>
      </c>
      <c r="H256" t="s">
        <v>592</v>
      </c>
      <c r="K256" s="19" t="str">
        <f t="shared" si="12"/>
        <v/>
      </c>
      <c r="P256" s="19" t="str">
        <f t="shared" si="15"/>
        <v/>
      </c>
    </row>
    <row r="257" spans="2:16" ht="15.75" customHeight="1" x14ac:dyDescent="0.2">
      <c r="B257" s="27" t="s">
        <v>504</v>
      </c>
      <c r="C257" s="25" t="s">
        <v>505</v>
      </c>
      <c r="D257" s="41"/>
      <c r="E257" s="38">
        <f t="shared" si="13"/>
        <v>0</v>
      </c>
      <c r="F257" s="38">
        <f t="shared" si="14"/>
        <v>0</v>
      </c>
      <c r="G257" s="37">
        <f>PRODUCTOS[[#This Row],[CONTEO INICIAL]]+E257-F257</f>
        <v>0</v>
      </c>
      <c r="K257" s="19" t="str">
        <f t="shared" si="12"/>
        <v/>
      </c>
      <c r="P257" s="19" t="str">
        <f t="shared" si="15"/>
        <v/>
      </c>
    </row>
    <row r="258" spans="2:16" ht="15.75" customHeight="1" x14ac:dyDescent="0.2">
      <c r="B258" s="27" t="s">
        <v>506</v>
      </c>
      <c r="C258" s="25" t="s">
        <v>507</v>
      </c>
      <c r="D258" s="41"/>
      <c r="E258" s="38">
        <f t="shared" si="13"/>
        <v>0</v>
      </c>
      <c r="F258" s="38">
        <f t="shared" si="14"/>
        <v>0</v>
      </c>
      <c r="G258" s="37">
        <f>PRODUCTOS[[#This Row],[CONTEO INICIAL]]+E258-F258</f>
        <v>0</v>
      </c>
      <c r="K258" s="19" t="str">
        <f t="shared" si="12"/>
        <v/>
      </c>
      <c r="P258" s="19" t="str">
        <f t="shared" si="15"/>
        <v/>
      </c>
    </row>
    <row r="259" spans="2:16" ht="15.75" customHeight="1" x14ac:dyDescent="0.2">
      <c r="B259" s="27" t="s">
        <v>508</v>
      </c>
      <c r="C259" s="25" t="s">
        <v>509</v>
      </c>
      <c r="D259" s="41"/>
      <c r="E259" s="38">
        <f t="shared" si="13"/>
        <v>0</v>
      </c>
      <c r="F259" s="38">
        <f t="shared" si="14"/>
        <v>0</v>
      </c>
      <c r="G259" s="37">
        <f>PRODUCTOS[[#This Row],[CONTEO INICIAL]]+E259-F259</f>
        <v>0</v>
      </c>
      <c r="K259" s="19" t="str">
        <f t="shared" si="12"/>
        <v/>
      </c>
      <c r="P259" s="19" t="str">
        <f t="shared" si="15"/>
        <v/>
      </c>
    </row>
    <row r="260" spans="2:16" ht="15.75" customHeight="1" x14ac:dyDescent="0.2">
      <c r="B260" s="27" t="s">
        <v>510</v>
      </c>
      <c r="C260" s="25" t="s">
        <v>511</v>
      </c>
      <c r="D260" s="41"/>
      <c r="E260" s="38">
        <f t="shared" si="13"/>
        <v>0</v>
      </c>
      <c r="F260" s="38">
        <f t="shared" si="14"/>
        <v>0</v>
      </c>
      <c r="G260" s="37">
        <f>PRODUCTOS[[#This Row],[CONTEO INICIAL]]+E260-F260</f>
        <v>0</v>
      </c>
      <c r="K260" s="19" t="str">
        <f t="shared" ref="K260:K287" si="16">IF(J260="", "", IFERROR(VLOOKUP(J260&amp;"", $B$4:$C$5005, 2, FALSE), "NO EXISTE"))</f>
        <v/>
      </c>
      <c r="P260" s="19" t="str">
        <f t="shared" si="15"/>
        <v/>
      </c>
    </row>
    <row r="261" spans="2:16" ht="15.75" customHeight="1" x14ac:dyDescent="0.2">
      <c r="B261" s="27" t="s">
        <v>512</v>
      </c>
      <c r="C261" s="25" t="s">
        <v>513</v>
      </c>
      <c r="D261" s="41"/>
      <c r="E261" s="38">
        <f t="shared" si="13"/>
        <v>0</v>
      </c>
      <c r="F261" s="38">
        <f t="shared" si="14"/>
        <v>0</v>
      </c>
      <c r="G261" s="37">
        <f>PRODUCTOS[[#This Row],[CONTEO INICIAL]]+E261-F261</f>
        <v>0</v>
      </c>
      <c r="K261" s="19" t="str">
        <f t="shared" si="16"/>
        <v/>
      </c>
      <c r="P261" s="19" t="str">
        <f t="shared" si="15"/>
        <v/>
      </c>
    </row>
    <row r="262" spans="2:16" ht="15.75" customHeight="1" x14ac:dyDescent="0.2">
      <c r="B262" s="27" t="s">
        <v>514</v>
      </c>
      <c r="C262" s="25" t="s">
        <v>515</v>
      </c>
      <c r="D262" s="41"/>
      <c r="E262" s="38">
        <f t="shared" si="13"/>
        <v>0</v>
      </c>
      <c r="F262" s="38">
        <f t="shared" si="14"/>
        <v>0</v>
      </c>
      <c r="G262" s="37">
        <f>PRODUCTOS[[#This Row],[CONTEO INICIAL]]+E262-F262</f>
        <v>0</v>
      </c>
      <c r="K262" s="19" t="str">
        <f t="shared" si="16"/>
        <v/>
      </c>
      <c r="P262" s="19" t="str">
        <f t="shared" si="15"/>
        <v/>
      </c>
    </row>
    <row r="263" spans="2:16" ht="15.75" customHeight="1" x14ac:dyDescent="0.2">
      <c r="B263" s="27" t="s">
        <v>516</v>
      </c>
      <c r="C263" s="25" t="s">
        <v>517</v>
      </c>
      <c r="D263" s="41"/>
      <c r="E263" s="38">
        <f t="shared" ref="E263:E292" si="17">SUMIF($J$4:$J$5000, B263, $M$4:$M$5000)</f>
        <v>0</v>
      </c>
      <c r="F263" s="38">
        <f t="shared" ref="F263:F292" si="18">SUMIF($O$4:$O$5000, B263, $R$4:$R$5000)</f>
        <v>0</v>
      </c>
      <c r="G263" s="37">
        <f>PRODUCTOS[[#This Row],[CONTEO INICIAL]]+E263-F263</f>
        <v>0</v>
      </c>
      <c r="K263" s="19" t="str">
        <f t="shared" si="16"/>
        <v/>
      </c>
      <c r="P263" s="19" t="str">
        <f t="shared" si="15"/>
        <v/>
      </c>
    </row>
    <row r="264" spans="2:16" ht="15.75" customHeight="1" x14ac:dyDescent="0.2">
      <c r="B264" s="27" t="s">
        <v>518</v>
      </c>
      <c r="C264" s="25" t="s">
        <v>519</v>
      </c>
      <c r="D264" s="41"/>
      <c r="E264" s="38">
        <f t="shared" si="17"/>
        <v>0</v>
      </c>
      <c r="F264" s="38">
        <f t="shared" si="18"/>
        <v>0</v>
      </c>
      <c r="G264" s="37">
        <f>PRODUCTOS[[#This Row],[CONTEO INICIAL]]+E264-F264</f>
        <v>0</v>
      </c>
      <c r="K264" s="19" t="str">
        <f t="shared" si="16"/>
        <v/>
      </c>
      <c r="P264" s="19" t="str">
        <f t="shared" si="15"/>
        <v/>
      </c>
    </row>
    <row r="265" spans="2:16" ht="15.75" customHeight="1" x14ac:dyDescent="0.2">
      <c r="B265" s="104" t="s">
        <v>502</v>
      </c>
      <c r="C265" s="74" t="s">
        <v>503</v>
      </c>
      <c r="D265" s="75">
        <v>79</v>
      </c>
      <c r="E265" s="76">
        <f t="shared" si="17"/>
        <v>0</v>
      </c>
      <c r="F265" s="76">
        <f t="shared" si="18"/>
        <v>0</v>
      </c>
      <c r="G265" s="77">
        <f>PRODUCTOS[[#This Row],[CONTEO INICIAL]]+E265-F265</f>
        <v>79</v>
      </c>
      <c r="K265" s="19" t="str">
        <f t="shared" si="16"/>
        <v/>
      </c>
      <c r="P265" s="19" t="str">
        <f t="shared" si="15"/>
        <v/>
      </c>
    </row>
    <row r="266" spans="2:16" ht="15.75" customHeight="1" x14ac:dyDescent="0.2">
      <c r="B266" s="104" t="s">
        <v>520</v>
      </c>
      <c r="C266" s="61" t="s">
        <v>521</v>
      </c>
      <c r="D266" s="59">
        <v>50</v>
      </c>
      <c r="E266" s="62">
        <v>0</v>
      </c>
      <c r="F266" s="62">
        <f t="shared" si="18"/>
        <v>0</v>
      </c>
      <c r="G266" s="63">
        <f>PRODUCTOS[[#This Row],[CONTEO INICIAL]]+E266-F266</f>
        <v>50</v>
      </c>
      <c r="K266" s="19" t="str">
        <f t="shared" si="16"/>
        <v/>
      </c>
      <c r="P266" s="19" t="str">
        <f t="shared" ref="P266:P287" si="19">IF(O266="", "", IFERROR(VLOOKUP(O266&amp;"", $B$4:$C$5005, 2, FALSE), "NO EXISTE"))</f>
        <v/>
      </c>
    </row>
    <row r="267" spans="2:16" ht="15.75" customHeight="1" x14ac:dyDescent="0.2">
      <c r="B267" s="104" t="s">
        <v>522</v>
      </c>
      <c r="C267" s="61" t="s">
        <v>523</v>
      </c>
      <c r="D267" s="59">
        <v>9</v>
      </c>
      <c r="E267" s="62">
        <v>0</v>
      </c>
      <c r="F267" s="62">
        <f t="shared" si="18"/>
        <v>0</v>
      </c>
      <c r="G267" s="63">
        <f>PRODUCTOS[[#This Row],[CONTEO INICIAL]]+E267-F267</f>
        <v>9</v>
      </c>
      <c r="K267" s="19" t="str">
        <f t="shared" si="16"/>
        <v/>
      </c>
      <c r="P267" s="19" t="str">
        <f t="shared" si="19"/>
        <v/>
      </c>
    </row>
    <row r="268" spans="2:16" ht="15.75" customHeight="1" x14ac:dyDescent="0.2">
      <c r="B268" s="104" t="s">
        <v>524</v>
      </c>
      <c r="C268" s="61" t="s">
        <v>525</v>
      </c>
      <c r="D268" s="59">
        <v>6</v>
      </c>
      <c r="E268" s="62">
        <v>0</v>
      </c>
      <c r="F268" s="62">
        <f t="shared" si="18"/>
        <v>0</v>
      </c>
      <c r="G268" s="63">
        <f>PRODUCTOS[[#This Row],[CONTEO INICIAL]]+E268-F268</f>
        <v>6</v>
      </c>
      <c r="H268" s="65" t="s">
        <v>580</v>
      </c>
      <c r="K268" s="19" t="str">
        <f t="shared" si="16"/>
        <v/>
      </c>
      <c r="P268" s="19" t="str">
        <f t="shared" si="19"/>
        <v/>
      </c>
    </row>
    <row r="269" spans="2:16" ht="15.75" customHeight="1" x14ac:dyDescent="0.2">
      <c r="B269" s="104" t="s">
        <v>526</v>
      </c>
      <c r="C269" s="61" t="s">
        <v>527</v>
      </c>
      <c r="D269" s="59">
        <v>10</v>
      </c>
      <c r="E269" s="62">
        <v>0</v>
      </c>
      <c r="F269" s="62">
        <f t="shared" si="18"/>
        <v>0</v>
      </c>
      <c r="G269" s="63">
        <f>PRODUCTOS[[#This Row],[CONTEO INICIAL]]+E269-F269</f>
        <v>10</v>
      </c>
      <c r="K269" s="19" t="str">
        <f t="shared" si="16"/>
        <v/>
      </c>
      <c r="P269" s="19" t="str">
        <f t="shared" si="19"/>
        <v/>
      </c>
    </row>
    <row r="270" spans="2:16" ht="15.75" customHeight="1" x14ac:dyDescent="0.2">
      <c r="B270" s="73" t="s">
        <v>528</v>
      </c>
      <c r="C270" s="74" t="s">
        <v>529</v>
      </c>
      <c r="D270" s="75"/>
      <c r="E270" s="76">
        <f t="shared" si="17"/>
        <v>0</v>
      </c>
      <c r="F270" s="76">
        <f t="shared" si="18"/>
        <v>0</v>
      </c>
      <c r="G270" s="77">
        <f>PRODUCTOS[[#This Row],[CONTEO INICIAL]]+E270-F270</f>
        <v>0</v>
      </c>
      <c r="K270" s="19" t="str">
        <f t="shared" si="16"/>
        <v/>
      </c>
      <c r="P270" s="19" t="str">
        <f t="shared" si="19"/>
        <v/>
      </c>
    </row>
    <row r="271" spans="2:16" ht="15.75" customHeight="1" x14ac:dyDescent="0.2">
      <c r="B271" s="27" t="s">
        <v>530</v>
      </c>
      <c r="C271" s="25" t="s">
        <v>531</v>
      </c>
      <c r="D271" s="41"/>
      <c r="E271" s="38">
        <f t="shared" si="17"/>
        <v>0</v>
      </c>
      <c r="F271" s="38">
        <f t="shared" si="18"/>
        <v>0</v>
      </c>
      <c r="G271" s="37">
        <f>PRODUCTOS[[#This Row],[CONTEO INICIAL]]+E271-F271</f>
        <v>0</v>
      </c>
      <c r="K271" s="19" t="str">
        <f t="shared" si="16"/>
        <v/>
      </c>
      <c r="P271" s="19" t="str">
        <f t="shared" si="19"/>
        <v/>
      </c>
    </row>
    <row r="272" spans="2:16" ht="15.75" customHeight="1" x14ac:dyDescent="0.2">
      <c r="B272" s="104" t="s">
        <v>532</v>
      </c>
      <c r="C272" s="61" t="s">
        <v>533</v>
      </c>
      <c r="D272" s="59">
        <v>17</v>
      </c>
      <c r="E272" s="62">
        <v>0</v>
      </c>
      <c r="F272" s="62">
        <f t="shared" si="18"/>
        <v>0</v>
      </c>
      <c r="G272" s="63">
        <f>PRODUCTOS[[#This Row],[CONTEO INICIAL]]+E272-F272</f>
        <v>17</v>
      </c>
      <c r="K272" s="19" t="str">
        <f t="shared" si="16"/>
        <v/>
      </c>
      <c r="P272" s="19" t="str">
        <f t="shared" si="19"/>
        <v/>
      </c>
    </row>
    <row r="273" spans="2:16" ht="15.75" customHeight="1" x14ac:dyDescent="0.2">
      <c r="B273" s="104" t="s">
        <v>534</v>
      </c>
      <c r="C273" s="61" t="s">
        <v>535</v>
      </c>
      <c r="D273" s="59">
        <v>7</v>
      </c>
      <c r="E273" s="62">
        <v>0</v>
      </c>
      <c r="F273" s="62">
        <f t="shared" si="18"/>
        <v>0</v>
      </c>
      <c r="G273" s="63">
        <f>PRODUCTOS[[#This Row],[CONTEO INICIAL]]+E273-F273</f>
        <v>7</v>
      </c>
      <c r="K273" s="19" t="str">
        <f t="shared" si="16"/>
        <v/>
      </c>
      <c r="P273" s="19" t="str">
        <f t="shared" si="19"/>
        <v/>
      </c>
    </row>
    <row r="274" spans="2:16" ht="15.75" customHeight="1" x14ac:dyDescent="0.2">
      <c r="B274" s="27" t="s">
        <v>536</v>
      </c>
      <c r="C274" s="25" t="s">
        <v>537</v>
      </c>
      <c r="D274" s="41"/>
      <c r="E274" s="38">
        <f t="shared" si="17"/>
        <v>0</v>
      </c>
      <c r="F274" s="38">
        <f t="shared" si="18"/>
        <v>0</v>
      </c>
      <c r="G274" s="37">
        <f>PRODUCTOS[[#This Row],[CONTEO INICIAL]]+E274-F274</f>
        <v>0</v>
      </c>
      <c r="K274" s="19" t="str">
        <f t="shared" si="16"/>
        <v/>
      </c>
      <c r="P274" s="19" t="str">
        <f t="shared" si="19"/>
        <v/>
      </c>
    </row>
    <row r="275" spans="2:16" ht="15.75" customHeight="1" x14ac:dyDescent="0.2">
      <c r="B275" s="27" t="s">
        <v>538</v>
      </c>
      <c r="C275" s="25" t="s">
        <v>539</v>
      </c>
      <c r="D275" s="41"/>
      <c r="E275" s="38">
        <f t="shared" si="17"/>
        <v>0</v>
      </c>
      <c r="F275" s="38">
        <f t="shared" si="18"/>
        <v>0</v>
      </c>
      <c r="G275" s="37">
        <f>PRODUCTOS[[#This Row],[CONTEO INICIAL]]+E275-F275</f>
        <v>0</v>
      </c>
      <c r="K275" s="19" t="str">
        <f t="shared" si="16"/>
        <v/>
      </c>
      <c r="P275" s="19" t="str">
        <f t="shared" si="19"/>
        <v/>
      </c>
    </row>
    <row r="276" spans="2:16" ht="15.75" customHeight="1" x14ac:dyDescent="0.2">
      <c r="B276" s="27" t="s">
        <v>540</v>
      </c>
      <c r="C276" s="25" t="s">
        <v>541</v>
      </c>
      <c r="D276" s="41"/>
      <c r="E276" s="38">
        <f t="shared" si="17"/>
        <v>0</v>
      </c>
      <c r="F276" s="38">
        <f t="shared" si="18"/>
        <v>0</v>
      </c>
      <c r="G276" s="37">
        <f>PRODUCTOS[[#This Row],[CONTEO INICIAL]]+E276-F276</f>
        <v>0</v>
      </c>
      <c r="K276" s="19" t="str">
        <f t="shared" si="16"/>
        <v/>
      </c>
      <c r="P276" s="19" t="str">
        <f t="shared" si="19"/>
        <v/>
      </c>
    </row>
    <row r="277" spans="2:16" ht="15.75" customHeight="1" x14ac:dyDescent="0.2">
      <c r="B277" s="73" t="s">
        <v>542</v>
      </c>
      <c r="C277" s="74" t="s">
        <v>543</v>
      </c>
      <c r="D277" s="75">
        <v>44</v>
      </c>
      <c r="E277" s="76">
        <f t="shared" si="17"/>
        <v>0</v>
      </c>
      <c r="F277" s="76">
        <f t="shared" si="18"/>
        <v>0</v>
      </c>
      <c r="G277" s="77">
        <f>PRODUCTOS[[#This Row],[CONTEO INICIAL]]+E277-F277</f>
        <v>44</v>
      </c>
      <c r="K277" s="19" t="str">
        <f t="shared" si="16"/>
        <v/>
      </c>
      <c r="P277" s="19" t="str">
        <f t="shared" si="19"/>
        <v/>
      </c>
    </row>
    <row r="278" spans="2:16" ht="15.75" customHeight="1" x14ac:dyDescent="0.2">
      <c r="B278" s="73" t="s">
        <v>544</v>
      </c>
      <c r="C278" s="74" t="s">
        <v>543</v>
      </c>
      <c r="D278" s="75">
        <v>15</v>
      </c>
      <c r="E278" s="76">
        <f t="shared" si="17"/>
        <v>0</v>
      </c>
      <c r="F278" s="76">
        <f t="shared" si="18"/>
        <v>0</v>
      </c>
      <c r="G278" s="77">
        <f>PRODUCTOS[[#This Row],[CONTEO INICIAL]]+E278-F278</f>
        <v>15</v>
      </c>
      <c r="K278" s="19" t="str">
        <f t="shared" si="16"/>
        <v/>
      </c>
      <c r="P278" s="19" t="str">
        <f t="shared" si="19"/>
        <v/>
      </c>
    </row>
    <row r="279" spans="2:16" ht="15.75" customHeight="1" x14ac:dyDescent="0.2">
      <c r="B279" s="73" t="s">
        <v>545</v>
      </c>
      <c r="C279" s="74" t="s">
        <v>546</v>
      </c>
      <c r="D279" s="75">
        <v>10</v>
      </c>
      <c r="E279" s="76">
        <f t="shared" si="17"/>
        <v>0</v>
      </c>
      <c r="F279" s="76">
        <f t="shared" si="18"/>
        <v>0</v>
      </c>
      <c r="G279" s="77">
        <f>PRODUCTOS[[#This Row],[CONTEO INICIAL]]+E279-F279</f>
        <v>10</v>
      </c>
      <c r="K279" s="19" t="str">
        <f t="shared" si="16"/>
        <v/>
      </c>
      <c r="P279" s="19" t="str">
        <f t="shared" si="19"/>
        <v/>
      </c>
    </row>
    <row r="280" spans="2:16" ht="15.75" customHeight="1" x14ac:dyDescent="0.2">
      <c r="B280" s="27" t="s">
        <v>547</v>
      </c>
      <c r="C280" s="25" t="s">
        <v>548</v>
      </c>
      <c r="D280" s="41"/>
      <c r="E280" s="38">
        <f t="shared" si="17"/>
        <v>0</v>
      </c>
      <c r="F280" s="38">
        <f t="shared" si="18"/>
        <v>0</v>
      </c>
      <c r="G280" s="37">
        <f>PRODUCTOS[[#This Row],[CONTEO INICIAL]]+E280-F280</f>
        <v>0</v>
      </c>
      <c r="K280" s="19" t="str">
        <f t="shared" si="16"/>
        <v/>
      </c>
      <c r="P280" s="19" t="str">
        <f t="shared" si="19"/>
        <v/>
      </c>
    </row>
    <row r="281" spans="2:16" s="67" customFormat="1" ht="15.75" customHeight="1" x14ac:dyDescent="0.2">
      <c r="B281" s="79" t="s">
        <v>549</v>
      </c>
      <c r="C281" s="80" t="s">
        <v>550</v>
      </c>
      <c r="D281" s="81">
        <v>6</v>
      </c>
      <c r="E281" s="82">
        <f t="shared" si="17"/>
        <v>0</v>
      </c>
      <c r="F281" s="82">
        <f t="shared" si="18"/>
        <v>0</v>
      </c>
      <c r="G281" s="83">
        <f>PRODUCTOS[[#This Row],[CONTEO INICIAL]]+E281-F281</f>
        <v>6</v>
      </c>
      <c r="H281"/>
      <c r="K281" s="68" t="str">
        <f t="shared" si="16"/>
        <v/>
      </c>
      <c r="P281" s="68" t="str">
        <f t="shared" si="19"/>
        <v/>
      </c>
    </row>
    <row r="282" spans="2:16" s="70" customFormat="1" ht="15.75" customHeight="1" x14ac:dyDescent="0.2">
      <c r="B282" s="79" t="s">
        <v>551</v>
      </c>
      <c r="C282" s="80" t="s">
        <v>552</v>
      </c>
      <c r="D282" s="81">
        <v>5</v>
      </c>
      <c r="E282" s="82">
        <f t="shared" si="17"/>
        <v>0</v>
      </c>
      <c r="F282" s="82">
        <f t="shared" si="18"/>
        <v>0</v>
      </c>
      <c r="G282" s="83">
        <f>PRODUCTOS[[#This Row],[CONTEO INICIAL]]+E282-F282</f>
        <v>5</v>
      </c>
      <c r="H282"/>
      <c r="K282" s="84" t="str">
        <f t="shared" si="16"/>
        <v/>
      </c>
      <c r="P282" s="84" t="str">
        <f t="shared" si="19"/>
        <v/>
      </c>
    </row>
    <row r="283" spans="2:16" s="70" customFormat="1" ht="15.75" customHeight="1" x14ac:dyDescent="0.2">
      <c r="B283" s="79" t="s">
        <v>553</v>
      </c>
      <c r="C283" s="80" t="s">
        <v>554</v>
      </c>
      <c r="D283" s="81">
        <v>7</v>
      </c>
      <c r="E283" s="82">
        <f t="shared" si="17"/>
        <v>0</v>
      </c>
      <c r="F283" s="82">
        <f t="shared" si="18"/>
        <v>0</v>
      </c>
      <c r="G283" s="83">
        <f>PRODUCTOS[[#This Row],[CONTEO INICIAL]]+E283-F283</f>
        <v>7</v>
      </c>
      <c r="H283"/>
      <c r="K283" s="84" t="str">
        <f t="shared" si="16"/>
        <v/>
      </c>
      <c r="P283" s="84" t="str">
        <f t="shared" si="19"/>
        <v/>
      </c>
    </row>
    <row r="284" spans="2:16" ht="15.75" customHeight="1" x14ac:dyDescent="0.2">
      <c r="B284" s="79" t="s">
        <v>555</v>
      </c>
      <c r="C284" s="80" t="s">
        <v>556</v>
      </c>
      <c r="D284" s="81">
        <v>6</v>
      </c>
      <c r="E284" s="82">
        <f t="shared" si="17"/>
        <v>0</v>
      </c>
      <c r="F284" s="82">
        <f t="shared" si="18"/>
        <v>0</v>
      </c>
      <c r="G284" s="83">
        <f>PRODUCTOS[[#This Row],[CONTEO INICIAL]]+E284-F284</f>
        <v>6</v>
      </c>
      <c r="H284" s="70"/>
      <c r="K284" s="19" t="str">
        <f t="shared" si="16"/>
        <v/>
      </c>
      <c r="P284" s="19" t="str">
        <f t="shared" si="19"/>
        <v/>
      </c>
    </row>
    <row r="285" spans="2:16" ht="15.75" customHeight="1" x14ac:dyDescent="0.2">
      <c r="B285" s="79" t="s">
        <v>557</v>
      </c>
      <c r="C285" s="80" t="s">
        <v>558</v>
      </c>
      <c r="D285" s="81">
        <v>43</v>
      </c>
      <c r="E285" s="82">
        <f t="shared" si="17"/>
        <v>0</v>
      </c>
      <c r="F285" s="82">
        <f t="shared" si="18"/>
        <v>0</v>
      </c>
      <c r="G285" s="83">
        <f>PRODUCTOS[[#This Row],[CONTEO INICIAL]]+E285-F285</f>
        <v>43</v>
      </c>
      <c r="H285" s="70"/>
      <c r="K285" t="str">
        <f t="shared" si="16"/>
        <v/>
      </c>
      <c r="P285" t="str">
        <f t="shared" si="19"/>
        <v/>
      </c>
    </row>
    <row r="286" spans="2:16" ht="15.75" customHeight="1" x14ac:dyDescent="0.2">
      <c r="B286" s="27" t="s">
        <v>559</v>
      </c>
      <c r="C286" s="25" t="s">
        <v>560</v>
      </c>
      <c r="D286" s="41"/>
      <c r="E286" s="38">
        <f t="shared" si="17"/>
        <v>0</v>
      </c>
      <c r="F286" s="38">
        <f t="shared" si="18"/>
        <v>0</v>
      </c>
      <c r="G286" s="37">
        <f>PRODUCTOS[[#This Row],[CONTEO INICIAL]]+E286-F286</f>
        <v>0</v>
      </c>
      <c r="K286" t="str">
        <f t="shared" si="16"/>
        <v/>
      </c>
      <c r="P286" t="str">
        <f t="shared" si="19"/>
        <v/>
      </c>
    </row>
    <row r="287" spans="2:16" ht="15.75" customHeight="1" x14ac:dyDescent="0.2">
      <c r="B287" s="27" t="s">
        <v>561</v>
      </c>
      <c r="C287" s="25" t="s">
        <v>562</v>
      </c>
      <c r="D287" s="41"/>
      <c r="E287" s="38">
        <f t="shared" si="17"/>
        <v>0</v>
      </c>
      <c r="F287" s="38">
        <f t="shared" si="18"/>
        <v>0</v>
      </c>
      <c r="G287" s="37">
        <f>PRODUCTOS[[#This Row],[CONTEO INICIAL]]+E287-F287</f>
        <v>0</v>
      </c>
      <c r="K287" t="str">
        <f t="shared" si="16"/>
        <v/>
      </c>
      <c r="P287" t="str">
        <f t="shared" si="19"/>
        <v/>
      </c>
    </row>
    <row r="288" spans="2:16" s="67" customFormat="1" ht="12.75" x14ac:dyDescent="0.2">
      <c r="B288" s="58" t="s">
        <v>567</v>
      </c>
      <c r="C288" s="17"/>
      <c r="D288" s="17"/>
      <c r="E288" s="38">
        <f t="shared" si="17"/>
        <v>0</v>
      </c>
      <c r="F288" s="38">
        <f t="shared" si="18"/>
        <v>0</v>
      </c>
      <c r="G288" s="37">
        <f>PRODUCTOS[[#This Row],[CONTEO INICIAL]]+E288-F288</f>
        <v>0</v>
      </c>
      <c r="H288"/>
      <c r="J288" s="67" t="str">
        <f t="shared" ref="J288:J351" si="20">IF(I288="", "", IFERROR(VLOOKUP(I288&amp;"", $B$4:$C$5005, 2, FALSE), "NO EXISTE"))</f>
        <v/>
      </c>
      <c r="O288" s="67" t="str">
        <f t="shared" ref="O288:O351" si="21">IF(N288="", "", IFERROR(VLOOKUP(N288&amp;"", $B$4:$C$5005, 2, FALSE), "NO EXISTE"))</f>
        <v/>
      </c>
    </row>
    <row r="289" spans="2:15" s="67" customFormat="1" ht="12.75" x14ac:dyDescent="0.2">
      <c r="B289" s="27" t="s">
        <v>563</v>
      </c>
      <c r="C289" s="25" t="s">
        <v>564</v>
      </c>
      <c r="D289" s="41"/>
      <c r="E289" s="38">
        <f t="shared" si="17"/>
        <v>0</v>
      </c>
      <c r="F289" s="38">
        <f t="shared" si="18"/>
        <v>0</v>
      </c>
      <c r="G289" s="37">
        <f>PRODUCTOS[[#This Row],[CONTEO INICIAL]]+E289-F289</f>
        <v>0</v>
      </c>
      <c r="H289"/>
      <c r="J289" s="67" t="str">
        <f t="shared" si="20"/>
        <v/>
      </c>
      <c r="O289" s="67" t="str">
        <f t="shared" si="21"/>
        <v/>
      </c>
    </row>
    <row r="290" spans="2:15" ht="12.75" x14ac:dyDescent="0.2">
      <c r="B290" s="25" t="s">
        <v>565</v>
      </c>
      <c r="C290" s="25" t="s">
        <v>566</v>
      </c>
      <c r="D290" s="41"/>
      <c r="E290" s="38">
        <f t="shared" si="17"/>
        <v>0</v>
      </c>
      <c r="F290" s="38">
        <f t="shared" si="18"/>
        <v>0</v>
      </c>
      <c r="G290" s="37">
        <f>PRODUCTOS[[#This Row],[CONTEO INICIAL]]+E290-F290</f>
        <v>0</v>
      </c>
      <c r="J290" t="str">
        <f t="shared" si="20"/>
        <v/>
      </c>
      <c r="O290" t="str">
        <f t="shared" si="21"/>
        <v/>
      </c>
    </row>
    <row r="291" spans="2:15" ht="12.75" x14ac:dyDescent="0.2">
      <c r="B291" s="66" t="s">
        <v>582</v>
      </c>
      <c r="C291" s="66" t="s">
        <v>583</v>
      </c>
      <c r="D291" s="69" t="s">
        <v>585</v>
      </c>
      <c r="E291" s="62"/>
      <c r="F291" s="62">
        <f t="shared" si="18"/>
        <v>0</v>
      </c>
      <c r="G291" s="63">
        <f>PRODUCTOS[[#This Row],[CONTEO INICIAL]]+E291-F291</f>
        <v>1</v>
      </c>
      <c r="H291" s="67"/>
      <c r="J291" t="str">
        <f t="shared" si="20"/>
        <v/>
      </c>
      <c r="O291" t="str">
        <f t="shared" si="21"/>
        <v/>
      </c>
    </row>
    <row r="292" spans="2:15" ht="12.75" x14ac:dyDescent="0.2">
      <c r="B292" s="106" t="s">
        <v>246</v>
      </c>
      <c r="C292" s="93" t="s">
        <v>584</v>
      </c>
      <c r="D292" s="92">
        <v>1360</v>
      </c>
      <c r="E292" s="76">
        <f t="shared" si="17"/>
        <v>0</v>
      </c>
      <c r="F292" s="76">
        <f t="shared" si="18"/>
        <v>0</v>
      </c>
      <c r="G292" s="77">
        <f>PRODUCTOS[[#This Row],[CONTEO INICIAL]]+E292-F292</f>
        <v>1360</v>
      </c>
      <c r="H292" s="67"/>
      <c r="J292" t="str">
        <f t="shared" si="20"/>
        <v/>
      </c>
      <c r="O292" t="str">
        <f t="shared" si="21"/>
        <v/>
      </c>
    </row>
    <row r="293" spans="2:15" ht="12.75" x14ac:dyDescent="0.2">
      <c r="B293" s="91" t="s">
        <v>587</v>
      </c>
      <c r="C293" s="91"/>
      <c r="D293" s="92" t="s">
        <v>588</v>
      </c>
      <c r="E293" s="92">
        <f>SUMIF($J$4:$J$5000, B293, $M$4:$M$5000)</f>
        <v>0</v>
      </c>
      <c r="F293" s="92">
        <f>SUMIF($O$4:$O$5000, B293, $R$4:$R$5000)</f>
        <v>0</v>
      </c>
      <c r="G293" s="92">
        <f>PRODUCTOS[[#This Row],[CONTEO INICIAL]]+E293-F293</f>
        <v>400</v>
      </c>
      <c r="J293" t="str">
        <f t="shared" si="20"/>
        <v/>
      </c>
      <c r="O293" t="str">
        <f t="shared" si="21"/>
        <v/>
      </c>
    </row>
    <row r="294" spans="2:15" ht="12.75" x14ac:dyDescent="0.2">
      <c r="B294" s="73" t="s">
        <v>408</v>
      </c>
      <c r="C294" s="91"/>
      <c r="D294" s="92" t="s">
        <v>594</v>
      </c>
      <c r="E294" s="92"/>
      <c r="F294" s="92"/>
      <c r="G294" s="92"/>
      <c r="J294" t="str">
        <f t="shared" si="20"/>
        <v/>
      </c>
      <c r="O294" t="str">
        <f t="shared" si="21"/>
        <v/>
      </c>
    </row>
    <row r="295" spans="2:15" ht="12.75" x14ac:dyDescent="0.2">
      <c r="B295" s="73" t="s">
        <v>597</v>
      </c>
      <c r="C295" s="91"/>
      <c r="D295" s="92" t="s">
        <v>594</v>
      </c>
      <c r="E295" s="92">
        <f t="shared" ref="E295:E302" si="22">SUMIF($J$4:$J$5000, B295, $M$4:$M$5000)</f>
        <v>0</v>
      </c>
      <c r="F295" s="92">
        <f t="shared" ref="F295:F302" si="23">SUMIF($O$4:$O$5000, B295, $R$4:$R$5000)</f>
        <v>0</v>
      </c>
      <c r="G295" s="92">
        <f>PRODUCTOS[[#This Row],[CONTEO INICIAL]]+E295-F295</f>
        <v>50</v>
      </c>
      <c r="J295" t="str">
        <f t="shared" si="20"/>
        <v/>
      </c>
      <c r="O295" t="str">
        <f t="shared" si="21"/>
        <v/>
      </c>
    </row>
    <row r="296" spans="2:15" ht="12.75" x14ac:dyDescent="0.2">
      <c r="B296" s="91" t="s">
        <v>598</v>
      </c>
      <c r="C296" s="91"/>
      <c r="D296" s="93" t="s">
        <v>599</v>
      </c>
      <c r="E296" s="92">
        <f t="shared" si="22"/>
        <v>0</v>
      </c>
      <c r="F296" s="92">
        <f t="shared" si="23"/>
        <v>0</v>
      </c>
      <c r="G296" s="94">
        <f>PRODUCTOS[[#This Row],[CONTEO INICIAL]]+E296-F296</f>
        <v>91</v>
      </c>
      <c r="J296" t="str">
        <f t="shared" si="20"/>
        <v/>
      </c>
      <c r="O296" t="str">
        <f t="shared" si="21"/>
        <v/>
      </c>
    </row>
    <row r="297" spans="2:15" ht="12.75" x14ac:dyDescent="0.2">
      <c r="B297" s="95" t="s">
        <v>610</v>
      </c>
      <c r="C297" s="95"/>
      <c r="D297" s="96" t="s">
        <v>611</v>
      </c>
      <c r="E297" s="97">
        <f t="shared" si="22"/>
        <v>0</v>
      </c>
      <c r="F297" s="97">
        <f t="shared" si="23"/>
        <v>0</v>
      </c>
      <c r="G297" s="98">
        <f>PRODUCTOS[[#This Row],[CONTEO INICIAL]]+E297-F297</f>
        <v>8</v>
      </c>
      <c r="J297" t="str">
        <f t="shared" si="20"/>
        <v/>
      </c>
      <c r="O297" t="str">
        <f t="shared" si="21"/>
        <v/>
      </c>
    </row>
    <row r="298" spans="2:15" ht="12.75" x14ac:dyDescent="0.2">
      <c r="B298" s="95" t="s">
        <v>612</v>
      </c>
      <c r="C298" s="95" t="s">
        <v>613</v>
      </c>
      <c r="D298" s="96" t="s">
        <v>614</v>
      </c>
      <c r="E298" s="97">
        <f t="shared" si="22"/>
        <v>0</v>
      </c>
      <c r="F298" s="97">
        <f t="shared" si="23"/>
        <v>0</v>
      </c>
      <c r="G298" s="98">
        <f>PRODUCTOS[[#This Row],[CONTEO INICIAL]]+E298-F298</f>
        <v>35</v>
      </c>
      <c r="J298" t="str">
        <f t="shared" si="20"/>
        <v/>
      </c>
      <c r="O298" t="str">
        <f t="shared" si="21"/>
        <v/>
      </c>
    </row>
    <row r="299" spans="2:15" ht="12.75" x14ac:dyDescent="0.2">
      <c r="B299" s="95" t="s">
        <v>615</v>
      </c>
      <c r="C299" s="95"/>
      <c r="D299" s="96" t="s">
        <v>616</v>
      </c>
      <c r="E299" s="97">
        <f t="shared" si="22"/>
        <v>0</v>
      </c>
      <c r="F299" s="97">
        <f t="shared" si="23"/>
        <v>0</v>
      </c>
      <c r="G299" s="98">
        <f>PRODUCTOS[[#This Row],[CONTEO INICIAL]]+E299-F299</f>
        <v>192</v>
      </c>
      <c r="J299" t="str">
        <f t="shared" si="20"/>
        <v/>
      </c>
      <c r="O299" t="str">
        <f t="shared" si="21"/>
        <v/>
      </c>
    </row>
    <row r="300" spans="2:15" ht="12.75" x14ac:dyDescent="0.2">
      <c r="B300" s="95">
        <v>41040</v>
      </c>
      <c r="C300" s="95"/>
      <c r="D300" s="96" t="s">
        <v>590</v>
      </c>
      <c r="E300" s="97">
        <f t="shared" si="22"/>
        <v>0</v>
      </c>
      <c r="F300" s="97">
        <f t="shared" si="23"/>
        <v>0</v>
      </c>
      <c r="G300" s="98">
        <f>PRODUCTOS[[#This Row],[CONTEO INICIAL]]+E300-F300</f>
        <v>100</v>
      </c>
      <c r="J300" t="str">
        <f t="shared" si="20"/>
        <v/>
      </c>
      <c r="O300" t="str">
        <f t="shared" si="21"/>
        <v/>
      </c>
    </row>
    <row r="301" spans="2:15" ht="12.75" x14ac:dyDescent="0.2">
      <c r="B301" s="95" t="s">
        <v>617</v>
      </c>
      <c r="C301" s="95"/>
      <c r="D301" s="96" t="s">
        <v>618</v>
      </c>
      <c r="E301" s="97">
        <f t="shared" si="22"/>
        <v>0</v>
      </c>
      <c r="F301" s="97">
        <f t="shared" si="23"/>
        <v>0</v>
      </c>
      <c r="G301" s="98">
        <f>PRODUCTOS[[#This Row],[CONTEO INICIAL]]+E301-F301</f>
        <v>15</v>
      </c>
      <c r="J301" t="str">
        <f t="shared" si="20"/>
        <v/>
      </c>
      <c r="O301" t="str">
        <f t="shared" si="21"/>
        <v/>
      </c>
    </row>
    <row r="302" spans="2:15" ht="12.75" x14ac:dyDescent="0.2">
      <c r="B302" s="79" t="s">
        <v>619</v>
      </c>
      <c r="C302" s="95"/>
      <c r="D302" s="96" t="s">
        <v>585</v>
      </c>
      <c r="E302" s="97">
        <f t="shared" si="22"/>
        <v>0</v>
      </c>
      <c r="F302" s="97">
        <f t="shared" si="23"/>
        <v>0</v>
      </c>
      <c r="G302" s="98">
        <f>PRODUCTOS[[#This Row],[CONTEO INICIAL]]+E302-F302</f>
        <v>1</v>
      </c>
      <c r="J302" t="str">
        <f t="shared" si="20"/>
        <v/>
      </c>
      <c r="O302" t="str">
        <f t="shared" si="21"/>
        <v/>
      </c>
    </row>
    <row r="303" spans="2:15" ht="12.75" x14ac:dyDescent="0.2">
      <c r="B303" s="95">
        <v>8003</v>
      </c>
      <c r="C303" s="95"/>
      <c r="D303" s="96" t="s">
        <v>623</v>
      </c>
      <c r="E303" s="97">
        <f>SUMIF($J$4:$J$5000, B303, $M$4:$M$5000)</f>
        <v>0</v>
      </c>
      <c r="F303" s="97">
        <f>SUMIF($O$4:$O$5000, B303, $R$4:$R$5000)</f>
        <v>0</v>
      </c>
      <c r="G303" s="98">
        <f>PRODUCTOS[[#This Row],[CONTEO INICIAL]]+E303-F303</f>
        <v>20</v>
      </c>
      <c r="J303" t="str">
        <f t="shared" si="20"/>
        <v/>
      </c>
      <c r="O303" t="str">
        <f t="shared" si="21"/>
        <v/>
      </c>
    </row>
    <row r="304" spans="2:15" ht="12.75" x14ac:dyDescent="0.2">
      <c r="D304" s="72"/>
      <c r="E304" s="72"/>
      <c r="F304" s="72"/>
      <c r="G304" s="72"/>
      <c r="J304" t="str">
        <f t="shared" si="20"/>
        <v/>
      </c>
      <c r="O304" t="str">
        <f t="shared" si="21"/>
        <v/>
      </c>
    </row>
    <row r="305" spans="10:15" ht="12.75" x14ac:dyDescent="0.2">
      <c r="J305" t="str">
        <f t="shared" si="20"/>
        <v/>
      </c>
      <c r="O305" t="str">
        <f t="shared" si="21"/>
        <v/>
      </c>
    </row>
    <row r="306" spans="10:15" ht="12.75" x14ac:dyDescent="0.2">
      <c r="J306" t="str">
        <f t="shared" si="20"/>
        <v/>
      </c>
      <c r="O306" t="str">
        <f t="shared" si="21"/>
        <v/>
      </c>
    </row>
    <row r="307" spans="10:15" ht="12.75" x14ac:dyDescent="0.2">
      <c r="J307" t="str">
        <f t="shared" si="20"/>
        <v/>
      </c>
      <c r="O307" t="str">
        <f t="shared" si="21"/>
        <v/>
      </c>
    </row>
    <row r="308" spans="10:15" ht="12.75" x14ac:dyDescent="0.2">
      <c r="J308" t="str">
        <f t="shared" si="20"/>
        <v/>
      </c>
      <c r="O308" t="str">
        <f t="shared" si="21"/>
        <v/>
      </c>
    </row>
    <row r="309" spans="10:15" ht="12.75" x14ac:dyDescent="0.2">
      <c r="J309" t="str">
        <f t="shared" si="20"/>
        <v/>
      </c>
      <c r="O309" t="str">
        <f t="shared" si="21"/>
        <v/>
      </c>
    </row>
    <row r="310" spans="10:15" ht="12.75" x14ac:dyDescent="0.2">
      <c r="J310" t="str">
        <f t="shared" si="20"/>
        <v/>
      </c>
      <c r="O310" t="str">
        <f t="shared" si="21"/>
        <v/>
      </c>
    </row>
    <row r="311" spans="10:15" ht="12.75" x14ac:dyDescent="0.2">
      <c r="J311" t="str">
        <f t="shared" si="20"/>
        <v/>
      </c>
      <c r="O311" t="str">
        <f t="shared" si="21"/>
        <v/>
      </c>
    </row>
    <row r="312" spans="10:15" ht="12.75" x14ac:dyDescent="0.2">
      <c r="J312" t="str">
        <f t="shared" si="20"/>
        <v/>
      </c>
      <c r="O312" t="str">
        <f t="shared" si="21"/>
        <v/>
      </c>
    </row>
    <row r="313" spans="10:15" ht="12.75" x14ac:dyDescent="0.2">
      <c r="J313" t="str">
        <f t="shared" si="20"/>
        <v/>
      </c>
      <c r="O313" t="str">
        <f t="shared" si="21"/>
        <v/>
      </c>
    </row>
    <row r="314" spans="10:15" ht="12.75" x14ac:dyDescent="0.2">
      <c r="J314" t="str">
        <f t="shared" si="20"/>
        <v/>
      </c>
      <c r="O314" t="str">
        <f t="shared" si="21"/>
        <v/>
      </c>
    </row>
    <row r="315" spans="10:15" ht="12.75" x14ac:dyDescent="0.2">
      <c r="J315" t="str">
        <f t="shared" si="20"/>
        <v/>
      </c>
      <c r="O315" t="str">
        <f t="shared" si="21"/>
        <v/>
      </c>
    </row>
    <row r="316" spans="10:15" ht="12.75" x14ac:dyDescent="0.2">
      <c r="J316" t="str">
        <f t="shared" si="20"/>
        <v/>
      </c>
      <c r="O316" t="str">
        <f t="shared" si="21"/>
        <v/>
      </c>
    </row>
    <row r="317" spans="10:15" ht="12.75" x14ac:dyDescent="0.2">
      <c r="J317" t="str">
        <f t="shared" si="20"/>
        <v/>
      </c>
      <c r="O317" t="str">
        <f t="shared" si="21"/>
        <v/>
      </c>
    </row>
    <row r="318" spans="10:15" ht="12.75" x14ac:dyDescent="0.2">
      <c r="J318" t="str">
        <f t="shared" si="20"/>
        <v/>
      </c>
      <c r="O318" t="str">
        <f t="shared" si="21"/>
        <v/>
      </c>
    </row>
    <row r="319" spans="10:15" ht="12.75" x14ac:dyDescent="0.2">
      <c r="J319" t="str">
        <f t="shared" si="20"/>
        <v/>
      </c>
      <c r="O319" t="str">
        <f t="shared" si="21"/>
        <v/>
      </c>
    </row>
    <row r="320" spans="10:15" ht="12.75" x14ac:dyDescent="0.2">
      <c r="J320" t="str">
        <f t="shared" si="20"/>
        <v/>
      </c>
      <c r="O320" t="str">
        <f t="shared" si="21"/>
        <v/>
      </c>
    </row>
    <row r="321" spans="10:15" ht="12.75" x14ac:dyDescent="0.2">
      <c r="J321" t="str">
        <f t="shared" si="20"/>
        <v/>
      </c>
      <c r="O321" t="str">
        <f t="shared" si="21"/>
        <v/>
      </c>
    </row>
    <row r="322" spans="10:15" ht="12.75" x14ac:dyDescent="0.2">
      <c r="J322" t="str">
        <f t="shared" si="20"/>
        <v/>
      </c>
      <c r="O322" t="str">
        <f t="shared" si="21"/>
        <v/>
      </c>
    </row>
    <row r="323" spans="10:15" ht="12.75" x14ac:dyDescent="0.2">
      <c r="J323" t="str">
        <f t="shared" si="20"/>
        <v/>
      </c>
      <c r="O323" t="str">
        <f t="shared" si="21"/>
        <v/>
      </c>
    </row>
    <row r="324" spans="10:15" ht="12.75" x14ac:dyDescent="0.2">
      <c r="J324" t="str">
        <f t="shared" si="20"/>
        <v/>
      </c>
      <c r="O324" t="str">
        <f t="shared" si="21"/>
        <v/>
      </c>
    </row>
    <row r="325" spans="10:15" ht="12.75" x14ac:dyDescent="0.2">
      <c r="J325" t="str">
        <f t="shared" si="20"/>
        <v/>
      </c>
      <c r="O325" t="str">
        <f t="shared" si="21"/>
        <v/>
      </c>
    </row>
    <row r="326" spans="10:15" ht="12.75" x14ac:dyDescent="0.2">
      <c r="J326" t="str">
        <f t="shared" si="20"/>
        <v/>
      </c>
      <c r="O326" t="str">
        <f t="shared" si="21"/>
        <v/>
      </c>
    </row>
    <row r="327" spans="10:15" ht="12.75" x14ac:dyDescent="0.2">
      <c r="J327" t="str">
        <f t="shared" si="20"/>
        <v/>
      </c>
      <c r="O327" t="str">
        <f t="shared" si="21"/>
        <v/>
      </c>
    </row>
    <row r="328" spans="10:15" ht="12.75" x14ac:dyDescent="0.2">
      <c r="J328" t="str">
        <f t="shared" si="20"/>
        <v/>
      </c>
      <c r="O328" t="str">
        <f t="shared" si="21"/>
        <v/>
      </c>
    </row>
    <row r="329" spans="10:15" ht="12.75" x14ac:dyDescent="0.2">
      <c r="J329" t="str">
        <f t="shared" si="20"/>
        <v/>
      </c>
      <c r="O329" t="str">
        <f t="shared" si="21"/>
        <v/>
      </c>
    </row>
    <row r="330" spans="10:15" ht="12.75" x14ac:dyDescent="0.2">
      <c r="J330" t="str">
        <f t="shared" si="20"/>
        <v/>
      </c>
      <c r="O330" t="str">
        <f t="shared" si="21"/>
        <v/>
      </c>
    </row>
    <row r="331" spans="10:15" ht="12.75" x14ac:dyDescent="0.2">
      <c r="J331" t="str">
        <f t="shared" si="20"/>
        <v/>
      </c>
      <c r="O331" t="str">
        <f t="shared" si="21"/>
        <v/>
      </c>
    </row>
    <row r="332" spans="10:15" ht="12.75" x14ac:dyDescent="0.2">
      <c r="J332" t="str">
        <f t="shared" si="20"/>
        <v/>
      </c>
      <c r="O332" t="str">
        <f t="shared" si="21"/>
        <v/>
      </c>
    </row>
    <row r="333" spans="10:15" ht="12.75" x14ac:dyDescent="0.2">
      <c r="J333" t="str">
        <f t="shared" si="20"/>
        <v/>
      </c>
      <c r="O333" t="str">
        <f t="shared" si="21"/>
        <v/>
      </c>
    </row>
    <row r="334" spans="10:15" ht="12.75" x14ac:dyDescent="0.2">
      <c r="J334" t="str">
        <f t="shared" si="20"/>
        <v/>
      </c>
      <c r="O334" t="str">
        <f t="shared" si="21"/>
        <v/>
      </c>
    </row>
    <row r="335" spans="10:15" ht="12.75" x14ac:dyDescent="0.2">
      <c r="J335" t="str">
        <f t="shared" si="20"/>
        <v/>
      </c>
      <c r="O335" t="str">
        <f t="shared" si="21"/>
        <v/>
      </c>
    </row>
    <row r="336" spans="10:15" ht="12.75" x14ac:dyDescent="0.2">
      <c r="J336" t="str">
        <f t="shared" si="20"/>
        <v/>
      </c>
      <c r="O336" t="str">
        <f t="shared" si="21"/>
        <v/>
      </c>
    </row>
    <row r="337" spans="10:15" ht="12.75" x14ac:dyDescent="0.2">
      <c r="J337" t="str">
        <f t="shared" si="20"/>
        <v/>
      </c>
      <c r="O337" t="str">
        <f t="shared" si="21"/>
        <v/>
      </c>
    </row>
    <row r="338" spans="10:15" ht="12.75" x14ac:dyDescent="0.2">
      <c r="J338" t="str">
        <f t="shared" si="20"/>
        <v/>
      </c>
      <c r="O338" t="str">
        <f t="shared" si="21"/>
        <v/>
      </c>
    </row>
    <row r="339" spans="10:15" ht="12.75" x14ac:dyDescent="0.2">
      <c r="J339" t="str">
        <f t="shared" si="20"/>
        <v/>
      </c>
      <c r="O339" t="str">
        <f t="shared" si="21"/>
        <v/>
      </c>
    </row>
    <row r="340" spans="10:15" ht="12.75" x14ac:dyDescent="0.2">
      <c r="J340" t="str">
        <f t="shared" si="20"/>
        <v/>
      </c>
      <c r="O340" t="str">
        <f t="shared" si="21"/>
        <v/>
      </c>
    </row>
    <row r="341" spans="10:15" ht="12.75" x14ac:dyDescent="0.2">
      <c r="J341" t="str">
        <f t="shared" si="20"/>
        <v/>
      </c>
      <c r="O341" t="str">
        <f t="shared" si="21"/>
        <v/>
      </c>
    </row>
    <row r="342" spans="10:15" ht="12.75" x14ac:dyDescent="0.2">
      <c r="J342" t="str">
        <f t="shared" si="20"/>
        <v/>
      </c>
      <c r="O342" t="str">
        <f t="shared" si="21"/>
        <v/>
      </c>
    </row>
    <row r="343" spans="10:15" ht="12.75" x14ac:dyDescent="0.2">
      <c r="J343" t="str">
        <f t="shared" si="20"/>
        <v/>
      </c>
      <c r="O343" t="str">
        <f t="shared" si="21"/>
        <v/>
      </c>
    </row>
    <row r="344" spans="10:15" ht="12.75" x14ac:dyDescent="0.2">
      <c r="J344" t="str">
        <f t="shared" si="20"/>
        <v/>
      </c>
      <c r="O344" t="str">
        <f t="shared" si="21"/>
        <v/>
      </c>
    </row>
    <row r="345" spans="10:15" ht="12.75" x14ac:dyDescent="0.2">
      <c r="J345" t="str">
        <f t="shared" si="20"/>
        <v/>
      </c>
      <c r="O345" t="str">
        <f t="shared" si="21"/>
        <v/>
      </c>
    </row>
    <row r="346" spans="10:15" ht="12.75" x14ac:dyDescent="0.2">
      <c r="J346" t="str">
        <f t="shared" si="20"/>
        <v/>
      </c>
      <c r="O346" t="str">
        <f t="shared" si="21"/>
        <v/>
      </c>
    </row>
    <row r="347" spans="10:15" ht="12.75" x14ac:dyDescent="0.2">
      <c r="J347" t="str">
        <f t="shared" si="20"/>
        <v/>
      </c>
      <c r="O347" t="str">
        <f t="shared" si="21"/>
        <v/>
      </c>
    </row>
    <row r="348" spans="10:15" ht="12.75" x14ac:dyDescent="0.2">
      <c r="J348" t="str">
        <f t="shared" si="20"/>
        <v/>
      </c>
      <c r="O348" t="str">
        <f t="shared" si="21"/>
        <v/>
      </c>
    </row>
    <row r="349" spans="10:15" ht="12.75" x14ac:dyDescent="0.2">
      <c r="J349" t="str">
        <f t="shared" si="20"/>
        <v/>
      </c>
      <c r="O349" t="str">
        <f t="shared" si="21"/>
        <v/>
      </c>
    </row>
    <row r="350" spans="10:15" ht="12.75" x14ac:dyDescent="0.2">
      <c r="J350" t="str">
        <f t="shared" si="20"/>
        <v/>
      </c>
      <c r="O350" t="str">
        <f t="shared" si="21"/>
        <v/>
      </c>
    </row>
    <row r="351" spans="10:15" ht="12.75" x14ac:dyDescent="0.2">
      <c r="J351" t="str">
        <f t="shared" si="20"/>
        <v/>
      </c>
      <c r="O351" t="str">
        <f t="shared" si="21"/>
        <v/>
      </c>
    </row>
    <row r="352" spans="10:15" ht="12.75" x14ac:dyDescent="0.2">
      <c r="J352" t="str">
        <f t="shared" ref="J352:J415" si="24">IF(I352="", "", IFERROR(VLOOKUP(I352&amp;"", $B$4:$C$5005, 2, FALSE), "NO EXISTE"))</f>
        <v/>
      </c>
      <c r="O352" t="str">
        <f t="shared" ref="O352:O415" si="25">IF(N352="", "", IFERROR(VLOOKUP(N352&amp;"", $B$4:$C$5005, 2, FALSE), "NO EXISTE"))</f>
        <v/>
      </c>
    </row>
    <row r="353" spans="10:15" ht="12.75" x14ac:dyDescent="0.2">
      <c r="J353" t="str">
        <f t="shared" si="24"/>
        <v/>
      </c>
      <c r="O353" t="str">
        <f t="shared" si="25"/>
        <v/>
      </c>
    </row>
    <row r="354" spans="10:15" ht="12.75" x14ac:dyDescent="0.2">
      <c r="J354" t="str">
        <f t="shared" si="24"/>
        <v/>
      </c>
      <c r="O354" t="str">
        <f t="shared" si="25"/>
        <v/>
      </c>
    </row>
    <row r="355" spans="10:15" ht="12.75" x14ac:dyDescent="0.2">
      <c r="J355" t="str">
        <f t="shared" si="24"/>
        <v/>
      </c>
      <c r="O355" t="str">
        <f t="shared" si="25"/>
        <v/>
      </c>
    </row>
    <row r="356" spans="10:15" ht="12.75" x14ac:dyDescent="0.2">
      <c r="J356" t="str">
        <f t="shared" si="24"/>
        <v/>
      </c>
      <c r="O356" t="str">
        <f t="shared" si="25"/>
        <v/>
      </c>
    </row>
    <row r="357" spans="10:15" ht="12.75" x14ac:dyDescent="0.2">
      <c r="J357" t="str">
        <f t="shared" si="24"/>
        <v/>
      </c>
      <c r="O357" t="str">
        <f t="shared" si="25"/>
        <v/>
      </c>
    </row>
    <row r="358" spans="10:15" ht="12.75" x14ac:dyDescent="0.2">
      <c r="J358" t="str">
        <f t="shared" si="24"/>
        <v/>
      </c>
      <c r="O358" t="str">
        <f t="shared" si="25"/>
        <v/>
      </c>
    </row>
    <row r="359" spans="10:15" ht="12.75" x14ac:dyDescent="0.2">
      <c r="J359" t="str">
        <f t="shared" si="24"/>
        <v/>
      </c>
      <c r="O359" t="str">
        <f t="shared" si="25"/>
        <v/>
      </c>
    </row>
    <row r="360" spans="10:15" ht="12.75" x14ac:dyDescent="0.2">
      <c r="J360" t="str">
        <f t="shared" si="24"/>
        <v/>
      </c>
      <c r="O360" t="str">
        <f t="shared" si="25"/>
        <v/>
      </c>
    </row>
    <row r="361" spans="10:15" ht="12.75" x14ac:dyDescent="0.2">
      <c r="J361" t="str">
        <f t="shared" si="24"/>
        <v/>
      </c>
      <c r="O361" t="str">
        <f t="shared" si="25"/>
        <v/>
      </c>
    </row>
    <row r="362" spans="10:15" ht="12.75" x14ac:dyDescent="0.2">
      <c r="J362" t="str">
        <f t="shared" si="24"/>
        <v/>
      </c>
      <c r="O362" t="str">
        <f t="shared" si="25"/>
        <v/>
      </c>
    </row>
    <row r="363" spans="10:15" ht="12.75" x14ac:dyDescent="0.2">
      <c r="J363" t="str">
        <f t="shared" si="24"/>
        <v/>
      </c>
      <c r="O363" t="str">
        <f t="shared" si="25"/>
        <v/>
      </c>
    </row>
    <row r="364" spans="10:15" ht="12.75" x14ac:dyDescent="0.2">
      <c r="J364" t="str">
        <f t="shared" si="24"/>
        <v/>
      </c>
      <c r="O364" t="str">
        <f t="shared" si="25"/>
        <v/>
      </c>
    </row>
    <row r="365" spans="10:15" ht="12.75" x14ac:dyDescent="0.2">
      <c r="J365" t="str">
        <f t="shared" si="24"/>
        <v/>
      </c>
      <c r="O365" t="str">
        <f t="shared" si="25"/>
        <v/>
      </c>
    </row>
    <row r="366" spans="10:15" ht="12.75" x14ac:dyDescent="0.2">
      <c r="J366" t="str">
        <f t="shared" si="24"/>
        <v/>
      </c>
      <c r="O366" t="str">
        <f t="shared" si="25"/>
        <v/>
      </c>
    </row>
    <row r="367" spans="10:15" ht="12.75" x14ac:dyDescent="0.2">
      <c r="J367" t="str">
        <f t="shared" si="24"/>
        <v/>
      </c>
      <c r="O367" t="str">
        <f t="shared" si="25"/>
        <v/>
      </c>
    </row>
    <row r="368" spans="10:15" ht="12.75" x14ac:dyDescent="0.2">
      <c r="J368" t="str">
        <f t="shared" si="24"/>
        <v/>
      </c>
      <c r="O368" t="str">
        <f t="shared" si="25"/>
        <v/>
      </c>
    </row>
    <row r="369" spans="10:15" ht="12.75" x14ac:dyDescent="0.2">
      <c r="J369" t="str">
        <f t="shared" si="24"/>
        <v/>
      </c>
      <c r="O369" t="str">
        <f t="shared" si="25"/>
        <v/>
      </c>
    </row>
    <row r="370" spans="10:15" ht="12.75" x14ac:dyDescent="0.2">
      <c r="J370" t="str">
        <f t="shared" si="24"/>
        <v/>
      </c>
      <c r="O370" t="str">
        <f t="shared" si="25"/>
        <v/>
      </c>
    </row>
    <row r="371" spans="10:15" ht="12.75" x14ac:dyDescent="0.2">
      <c r="J371" t="str">
        <f t="shared" si="24"/>
        <v/>
      </c>
      <c r="O371" t="str">
        <f t="shared" si="25"/>
        <v/>
      </c>
    </row>
    <row r="372" spans="10:15" ht="12.75" x14ac:dyDescent="0.2">
      <c r="J372" t="str">
        <f t="shared" si="24"/>
        <v/>
      </c>
      <c r="O372" t="str">
        <f t="shared" si="25"/>
        <v/>
      </c>
    </row>
    <row r="373" spans="10:15" ht="12.75" x14ac:dyDescent="0.2">
      <c r="J373" t="str">
        <f t="shared" si="24"/>
        <v/>
      </c>
      <c r="O373" t="str">
        <f t="shared" si="25"/>
        <v/>
      </c>
    </row>
    <row r="374" spans="10:15" ht="12.75" x14ac:dyDescent="0.2">
      <c r="J374" t="str">
        <f t="shared" si="24"/>
        <v/>
      </c>
      <c r="O374" t="str">
        <f t="shared" si="25"/>
        <v/>
      </c>
    </row>
    <row r="375" spans="10:15" ht="12.75" x14ac:dyDescent="0.2">
      <c r="J375" t="str">
        <f t="shared" si="24"/>
        <v/>
      </c>
      <c r="O375" t="str">
        <f t="shared" si="25"/>
        <v/>
      </c>
    </row>
    <row r="376" spans="10:15" ht="12.75" x14ac:dyDescent="0.2">
      <c r="J376" t="str">
        <f t="shared" si="24"/>
        <v/>
      </c>
      <c r="O376" t="str">
        <f t="shared" si="25"/>
        <v/>
      </c>
    </row>
    <row r="377" spans="10:15" ht="12.75" x14ac:dyDescent="0.2">
      <c r="J377" t="str">
        <f t="shared" si="24"/>
        <v/>
      </c>
      <c r="O377" t="str">
        <f t="shared" si="25"/>
        <v/>
      </c>
    </row>
    <row r="378" spans="10:15" ht="12.75" x14ac:dyDescent="0.2">
      <c r="J378" t="str">
        <f t="shared" si="24"/>
        <v/>
      </c>
      <c r="O378" t="str">
        <f t="shared" si="25"/>
        <v/>
      </c>
    </row>
    <row r="379" spans="10:15" ht="12.75" x14ac:dyDescent="0.2">
      <c r="J379" t="str">
        <f t="shared" si="24"/>
        <v/>
      </c>
      <c r="O379" t="str">
        <f t="shared" si="25"/>
        <v/>
      </c>
    </row>
    <row r="380" spans="10:15" ht="12.75" x14ac:dyDescent="0.2">
      <c r="J380" t="str">
        <f t="shared" si="24"/>
        <v/>
      </c>
      <c r="O380" t="str">
        <f t="shared" si="25"/>
        <v/>
      </c>
    </row>
    <row r="381" spans="10:15" ht="12.75" x14ac:dyDescent="0.2">
      <c r="J381" t="str">
        <f t="shared" si="24"/>
        <v/>
      </c>
      <c r="O381" t="str">
        <f t="shared" si="25"/>
        <v/>
      </c>
    </row>
    <row r="382" spans="10:15" ht="12.75" x14ac:dyDescent="0.2">
      <c r="J382" t="str">
        <f t="shared" si="24"/>
        <v/>
      </c>
      <c r="O382" t="str">
        <f t="shared" si="25"/>
        <v/>
      </c>
    </row>
    <row r="383" spans="10:15" ht="12.75" x14ac:dyDescent="0.2">
      <c r="J383" t="str">
        <f t="shared" si="24"/>
        <v/>
      </c>
      <c r="O383" t="str">
        <f t="shared" si="25"/>
        <v/>
      </c>
    </row>
    <row r="384" spans="10:15" ht="12.75" x14ac:dyDescent="0.2">
      <c r="J384" t="str">
        <f t="shared" si="24"/>
        <v/>
      </c>
      <c r="O384" t="str">
        <f t="shared" si="25"/>
        <v/>
      </c>
    </row>
    <row r="385" spans="10:15" ht="12.75" x14ac:dyDescent="0.2">
      <c r="J385" t="str">
        <f t="shared" si="24"/>
        <v/>
      </c>
      <c r="O385" t="str">
        <f t="shared" si="25"/>
        <v/>
      </c>
    </row>
    <row r="386" spans="10:15" ht="12.75" x14ac:dyDescent="0.2">
      <c r="J386" t="str">
        <f t="shared" si="24"/>
        <v/>
      </c>
      <c r="O386" t="str">
        <f t="shared" si="25"/>
        <v/>
      </c>
    </row>
    <row r="387" spans="10:15" ht="12.75" x14ac:dyDescent="0.2">
      <c r="J387" t="str">
        <f t="shared" si="24"/>
        <v/>
      </c>
      <c r="O387" t="str">
        <f t="shared" si="25"/>
        <v/>
      </c>
    </row>
    <row r="388" spans="10:15" ht="12.75" x14ac:dyDescent="0.2">
      <c r="J388" t="str">
        <f t="shared" si="24"/>
        <v/>
      </c>
      <c r="O388" t="str">
        <f t="shared" si="25"/>
        <v/>
      </c>
    </row>
    <row r="389" spans="10:15" ht="12.75" x14ac:dyDescent="0.2">
      <c r="J389" t="str">
        <f t="shared" si="24"/>
        <v/>
      </c>
      <c r="O389" t="str">
        <f t="shared" si="25"/>
        <v/>
      </c>
    </row>
    <row r="390" spans="10:15" ht="12.75" x14ac:dyDescent="0.2">
      <c r="J390" t="str">
        <f t="shared" si="24"/>
        <v/>
      </c>
      <c r="O390" t="str">
        <f t="shared" si="25"/>
        <v/>
      </c>
    </row>
    <row r="391" spans="10:15" ht="12.75" x14ac:dyDescent="0.2">
      <c r="J391" t="str">
        <f t="shared" si="24"/>
        <v/>
      </c>
      <c r="O391" t="str">
        <f t="shared" si="25"/>
        <v/>
      </c>
    </row>
    <row r="392" spans="10:15" ht="12.75" x14ac:dyDescent="0.2">
      <c r="J392" t="str">
        <f t="shared" si="24"/>
        <v/>
      </c>
      <c r="O392" t="str">
        <f t="shared" si="25"/>
        <v/>
      </c>
    </row>
    <row r="393" spans="10:15" ht="12.75" x14ac:dyDescent="0.2">
      <c r="J393" t="str">
        <f t="shared" si="24"/>
        <v/>
      </c>
      <c r="O393" t="str">
        <f t="shared" si="25"/>
        <v/>
      </c>
    </row>
    <row r="394" spans="10:15" ht="12.75" x14ac:dyDescent="0.2">
      <c r="J394" t="str">
        <f t="shared" si="24"/>
        <v/>
      </c>
      <c r="O394" t="str">
        <f t="shared" si="25"/>
        <v/>
      </c>
    </row>
    <row r="395" spans="10:15" ht="12.75" x14ac:dyDescent="0.2">
      <c r="J395" t="str">
        <f t="shared" si="24"/>
        <v/>
      </c>
      <c r="O395" t="str">
        <f t="shared" si="25"/>
        <v/>
      </c>
    </row>
    <row r="396" spans="10:15" ht="12.75" x14ac:dyDescent="0.2">
      <c r="J396" t="str">
        <f t="shared" si="24"/>
        <v/>
      </c>
      <c r="O396" t="str">
        <f t="shared" si="25"/>
        <v/>
      </c>
    </row>
    <row r="397" spans="10:15" ht="12.75" x14ac:dyDescent="0.2">
      <c r="J397" t="str">
        <f t="shared" si="24"/>
        <v/>
      </c>
      <c r="O397" t="str">
        <f t="shared" si="25"/>
        <v/>
      </c>
    </row>
    <row r="398" spans="10:15" ht="12.75" x14ac:dyDescent="0.2">
      <c r="J398" t="str">
        <f t="shared" si="24"/>
        <v/>
      </c>
      <c r="O398" t="str">
        <f t="shared" si="25"/>
        <v/>
      </c>
    </row>
    <row r="399" spans="10:15" ht="12.75" x14ac:dyDescent="0.2">
      <c r="J399" t="str">
        <f t="shared" si="24"/>
        <v/>
      </c>
      <c r="O399" t="str">
        <f t="shared" si="25"/>
        <v/>
      </c>
    </row>
    <row r="400" spans="10:15" ht="12.75" x14ac:dyDescent="0.2">
      <c r="J400" t="str">
        <f t="shared" si="24"/>
        <v/>
      </c>
      <c r="O400" t="str">
        <f t="shared" si="25"/>
        <v/>
      </c>
    </row>
    <row r="401" spans="10:15" ht="12.75" x14ac:dyDescent="0.2">
      <c r="J401" t="str">
        <f t="shared" si="24"/>
        <v/>
      </c>
      <c r="O401" t="str">
        <f t="shared" si="25"/>
        <v/>
      </c>
    </row>
    <row r="402" spans="10:15" ht="12.75" x14ac:dyDescent="0.2">
      <c r="J402" t="str">
        <f t="shared" si="24"/>
        <v/>
      </c>
      <c r="O402" t="str">
        <f t="shared" si="25"/>
        <v/>
      </c>
    </row>
    <row r="403" spans="10:15" ht="12.75" x14ac:dyDescent="0.2">
      <c r="J403" t="str">
        <f t="shared" si="24"/>
        <v/>
      </c>
      <c r="O403" t="str">
        <f t="shared" si="25"/>
        <v/>
      </c>
    </row>
    <row r="404" spans="10:15" ht="12.75" x14ac:dyDescent="0.2">
      <c r="J404" t="str">
        <f t="shared" si="24"/>
        <v/>
      </c>
      <c r="O404" t="str">
        <f t="shared" si="25"/>
        <v/>
      </c>
    </row>
    <row r="405" spans="10:15" ht="12.75" x14ac:dyDescent="0.2">
      <c r="J405" t="str">
        <f t="shared" si="24"/>
        <v/>
      </c>
      <c r="O405" t="str">
        <f t="shared" si="25"/>
        <v/>
      </c>
    </row>
    <row r="406" spans="10:15" ht="12.75" x14ac:dyDescent="0.2">
      <c r="J406" t="str">
        <f t="shared" si="24"/>
        <v/>
      </c>
      <c r="O406" t="str">
        <f t="shared" si="25"/>
        <v/>
      </c>
    </row>
    <row r="407" spans="10:15" ht="12.75" x14ac:dyDescent="0.2">
      <c r="J407" t="str">
        <f t="shared" si="24"/>
        <v/>
      </c>
      <c r="O407" t="str">
        <f t="shared" si="25"/>
        <v/>
      </c>
    </row>
    <row r="408" spans="10:15" ht="12.75" x14ac:dyDescent="0.2">
      <c r="J408" t="str">
        <f t="shared" si="24"/>
        <v/>
      </c>
      <c r="O408" t="str">
        <f t="shared" si="25"/>
        <v/>
      </c>
    </row>
    <row r="409" spans="10:15" ht="12.75" x14ac:dyDescent="0.2">
      <c r="J409" t="str">
        <f t="shared" si="24"/>
        <v/>
      </c>
      <c r="O409" t="str">
        <f t="shared" si="25"/>
        <v/>
      </c>
    </row>
    <row r="410" spans="10:15" ht="12.75" x14ac:dyDescent="0.2">
      <c r="J410" t="str">
        <f t="shared" si="24"/>
        <v/>
      </c>
      <c r="O410" t="str">
        <f t="shared" si="25"/>
        <v/>
      </c>
    </row>
    <row r="411" spans="10:15" ht="12.75" x14ac:dyDescent="0.2">
      <c r="J411" t="str">
        <f t="shared" si="24"/>
        <v/>
      </c>
      <c r="O411" t="str">
        <f t="shared" si="25"/>
        <v/>
      </c>
    </row>
    <row r="412" spans="10:15" ht="12.75" x14ac:dyDescent="0.2">
      <c r="J412" t="str">
        <f t="shared" si="24"/>
        <v/>
      </c>
      <c r="O412" t="str">
        <f t="shared" si="25"/>
        <v/>
      </c>
    </row>
    <row r="413" spans="10:15" ht="12.75" x14ac:dyDescent="0.2">
      <c r="J413" t="str">
        <f t="shared" si="24"/>
        <v/>
      </c>
      <c r="O413" t="str">
        <f t="shared" si="25"/>
        <v/>
      </c>
    </row>
    <row r="414" spans="10:15" ht="12.75" x14ac:dyDescent="0.2">
      <c r="J414" t="str">
        <f t="shared" si="24"/>
        <v/>
      </c>
      <c r="O414" t="str">
        <f t="shared" si="25"/>
        <v/>
      </c>
    </row>
    <row r="415" spans="10:15" ht="12.75" x14ac:dyDescent="0.2">
      <c r="J415" t="str">
        <f t="shared" si="24"/>
        <v/>
      </c>
      <c r="O415" t="str">
        <f t="shared" si="25"/>
        <v/>
      </c>
    </row>
    <row r="416" spans="10:15" ht="12.75" x14ac:dyDescent="0.2">
      <c r="J416" t="str">
        <f t="shared" ref="J416:J479" si="26">IF(I416="", "", IFERROR(VLOOKUP(I416&amp;"", $B$4:$C$5005, 2, FALSE), "NO EXISTE"))</f>
        <v/>
      </c>
      <c r="O416" t="str">
        <f t="shared" ref="O416:O479" si="27">IF(N416="", "", IFERROR(VLOOKUP(N416&amp;"", $B$4:$C$5005, 2, FALSE), "NO EXISTE"))</f>
        <v/>
      </c>
    </row>
    <row r="417" spans="10:15" ht="12.75" x14ac:dyDescent="0.2">
      <c r="J417" t="str">
        <f t="shared" si="26"/>
        <v/>
      </c>
      <c r="O417" t="str">
        <f t="shared" si="27"/>
        <v/>
      </c>
    </row>
    <row r="418" spans="10:15" ht="12.75" x14ac:dyDescent="0.2">
      <c r="J418" t="str">
        <f t="shared" si="26"/>
        <v/>
      </c>
      <c r="O418" t="str">
        <f t="shared" si="27"/>
        <v/>
      </c>
    </row>
    <row r="419" spans="10:15" ht="12.75" x14ac:dyDescent="0.2">
      <c r="J419" t="str">
        <f t="shared" si="26"/>
        <v/>
      </c>
      <c r="O419" t="str">
        <f t="shared" si="27"/>
        <v/>
      </c>
    </row>
    <row r="420" spans="10:15" ht="12.75" x14ac:dyDescent="0.2">
      <c r="J420" t="str">
        <f t="shared" si="26"/>
        <v/>
      </c>
      <c r="O420" t="str">
        <f t="shared" si="27"/>
        <v/>
      </c>
    </row>
    <row r="421" spans="10:15" ht="12.75" x14ac:dyDescent="0.2">
      <c r="J421" t="str">
        <f t="shared" si="26"/>
        <v/>
      </c>
      <c r="O421" t="str">
        <f t="shared" si="27"/>
        <v/>
      </c>
    </row>
    <row r="422" spans="10:15" ht="12.75" x14ac:dyDescent="0.2">
      <c r="J422" t="str">
        <f t="shared" si="26"/>
        <v/>
      </c>
      <c r="O422" t="str">
        <f t="shared" si="27"/>
        <v/>
      </c>
    </row>
    <row r="423" spans="10:15" ht="12.75" x14ac:dyDescent="0.2">
      <c r="J423" t="str">
        <f t="shared" si="26"/>
        <v/>
      </c>
      <c r="O423" t="str">
        <f t="shared" si="27"/>
        <v/>
      </c>
    </row>
    <row r="424" spans="10:15" ht="12.75" x14ac:dyDescent="0.2">
      <c r="J424" t="str">
        <f t="shared" si="26"/>
        <v/>
      </c>
      <c r="O424" t="str">
        <f t="shared" si="27"/>
        <v/>
      </c>
    </row>
    <row r="425" spans="10:15" ht="12.75" x14ac:dyDescent="0.2">
      <c r="J425" t="str">
        <f t="shared" si="26"/>
        <v/>
      </c>
      <c r="O425" t="str">
        <f t="shared" si="27"/>
        <v/>
      </c>
    </row>
    <row r="426" spans="10:15" ht="12.75" x14ac:dyDescent="0.2">
      <c r="J426" t="str">
        <f t="shared" si="26"/>
        <v/>
      </c>
      <c r="O426" t="str">
        <f t="shared" si="27"/>
        <v/>
      </c>
    </row>
    <row r="427" spans="10:15" ht="12.75" x14ac:dyDescent="0.2">
      <c r="J427" t="str">
        <f t="shared" si="26"/>
        <v/>
      </c>
      <c r="O427" t="str">
        <f t="shared" si="27"/>
        <v/>
      </c>
    </row>
    <row r="428" spans="10:15" ht="12.75" x14ac:dyDescent="0.2">
      <c r="J428" t="str">
        <f t="shared" si="26"/>
        <v/>
      </c>
      <c r="O428" t="str">
        <f t="shared" si="27"/>
        <v/>
      </c>
    </row>
    <row r="429" spans="10:15" ht="12.75" x14ac:dyDescent="0.2">
      <c r="J429" t="str">
        <f t="shared" si="26"/>
        <v/>
      </c>
      <c r="O429" t="str">
        <f t="shared" si="27"/>
        <v/>
      </c>
    </row>
    <row r="430" spans="10:15" ht="12.75" x14ac:dyDescent="0.2">
      <c r="J430" t="str">
        <f t="shared" si="26"/>
        <v/>
      </c>
      <c r="O430" t="str">
        <f t="shared" si="27"/>
        <v/>
      </c>
    </row>
    <row r="431" spans="10:15" ht="12.75" x14ac:dyDescent="0.2">
      <c r="J431" t="str">
        <f t="shared" si="26"/>
        <v/>
      </c>
      <c r="O431" t="str">
        <f t="shared" si="27"/>
        <v/>
      </c>
    </row>
    <row r="432" spans="10:15" ht="12.75" x14ac:dyDescent="0.2">
      <c r="J432" t="str">
        <f t="shared" si="26"/>
        <v/>
      </c>
      <c r="O432" t="str">
        <f t="shared" si="27"/>
        <v/>
      </c>
    </row>
    <row r="433" spans="10:15" ht="12.75" x14ac:dyDescent="0.2">
      <c r="J433" t="str">
        <f t="shared" si="26"/>
        <v/>
      </c>
      <c r="O433" t="str">
        <f t="shared" si="27"/>
        <v/>
      </c>
    </row>
    <row r="434" spans="10:15" ht="12.75" x14ac:dyDescent="0.2">
      <c r="J434" t="str">
        <f t="shared" si="26"/>
        <v/>
      </c>
      <c r="O434" t="str">
        <f t="shared" si="27"/>
        <v/>
      </c>
    </row>
    <row r="435" spans="10:15" ht="12.75" x14ac:dyDescent="0.2">
      <c r="J435" t="str">
        <f t="shared" si="26"/>
        <v/>
      </c>
      <c r="O435" t="str">
        <f t="shared" si="27"/>
        <v/>
      </c>
    </row>
    <row r="436" spans="10:15" ht="12.75" x14ac:dyDescent="0.2">
      <c r="J436" t="str">
        <f t="shared" si="26"/>
        <v/>
      </c>
      <c r="O436" t="str">
        <f t="shared" si="27"/>
        <v/>
      </c>
    </row>
    <row r="437" spans="10:15" ht="12.75" x14ac:dyDescent="0.2">
      <c r="J437" t="str">
        <f t="shared" si="26"/>
        <v/>
      </c>
      <c r="O437" t="str">
        <f t="shared" si="27"/>
        <v/>
      </c>
    </row>
    <row r="438" spans="10:15" ht="12.75" x14ac:dyDescent="0.2">
      <c r="J438" t="str">
        <f t="shared" si="26"/>
        <v/>
      </c>
      <c r="O438" t="str">
        <f t="shared" si="27"/>
        <v/>
      </c>
    </row>
    <row r="439" spans="10:15" ht="12.75" x14ac:dyDescent="0.2">
      <c r="J439" t="str">
        <f t="shared" si="26"/>
        <v/>
      </c>
      <c r="O439" t="str">
        <f t="shared" si="27"/>
        <v/>
      </c>
    </row>
    <row r="440" spans="10:15" ht="12.75" x14ac:dyDescent="0.2">
      <c r="J440" t="str">
        <f t="shared" si="26"/>
        <v/>
      </c>
      <c r="O440" t="str">
        <f t="shared" si="27"/>
        <v/>
      </c>
    </row>
    <row r="441" spans="10:15" ht="12.75" x14ac:dyDescent="0.2">
      <c r="J441" t="str">
        <f t="shared" si="26"/>
        <v/>
      </c>
      <c r="O441" t="str">
        <f t="shared" si="27"/>
        <v/>
      </c>
    </row>
    <row r="442" spans="10:15" ht="12.75" x14ac:dyDescent="0.2">
      <c r="J442" t="str">
        <f t="shared" si="26"/>
        <v/>
      </c>
      <c r="O442" t="str">
        <f t="shared" si="27"/>
        <v/>
      </c>
    </row>
    <row r="443" spans="10:15" ht="12.75" x14ac:dyDescent="0.2">
      <c r="J443" t="str">
        <f t="shared" si="26"/>
        <v/>
      </c>
      <c r="O443" t="str">
        <f t="shared" si="27"/>
        <v/>
      </c>
    </row>
    <row r="444" spans="10:15" ht="12.75" x14ac:dyDescent="0.2">
      <c r="J444" t="str">
        <f t="shared" si="26"/>
        <v/>
      </c>
      <c r="O444" t="str">
        <f t="shared" si="27"/>
        <v/>
      </c>
    </row>
    <row r="445" spans="10:15" ht="12.75" x14ac:dyDescent="0.2">
      <c r="J445" t="str">
        <f t="shared" si="26"/>
        <v/>
      </c>
      <c r="O445" t="str">
        <f t="shared" si="27"/>
        <v/>
      </c>
    </row>
    <row r="446" spans="10:15" ht="12.75" x14ac:dyDescent="0.2">
      <c r="J446" t="str">
        <f t="shared" si="26"/>
        <v/>
      </c>
      <c r="O446" t="str">
        <f t="shared" si="27"/>
        <v/>
      </c>
    </row>
    <row r="447" spans="10:15" ht="12.75" x14ac:dyDescent="0.2">
      <c r="J447" t="str">
        <f t="shared" si="26"/>
        <v/>
      </c>
      <c r="O447" t="str">
        <f t="shared" si="27"/>
        <v/>
      </c>
    </row>
    <row r="448" spans="10:15" ht="12.75" x14ac:dyDescent="0.2">
      <c r="J448" t="str">
        <f t="shared" si="26"/>
        <v/>
      </c>
      <c r="O448" t="str">
        <f t="shared" si="27"/>
        <v/>
      </c>
    </row>
    <row r="449" spans="10:15" ht="12.75" x14ac:dyDescent="0.2">
      <c r="J449" t="str">
        <f t="shared" si="26"/>
        <v/>
      </c>
      <c r="O449" t="str">
        <f t="shared" si="27"/>
        <v/>
      </c>
    </row>
    <row r="450" spans="10:15" ht="12.75" x14ac:dyDescent="0.2">
      <c r="J450" t="str">
        <f t="shared" si="26"/>
        <v/>
      </c>
      <c r="O450" t="str">
        <f t="shared" si="27"/>
        <v/>
      </c>
    </row>
    <row r="451" spans="10:15" ht="12.75" x14ac:dyDescent="0.2">
      <c r="J451" t="str">
        <f t="shared" si="26"/>
        <v/>
      </c>
      <c r="O451" t="str">
        <f t="shared" si="27"/>
        <v/>
      </c>
    </row>
    <row r="452" spans="10:15" ht="12.75" x14ac:dyDescent="0.2">
      <c r="J452" t="str">
        <f t="shared" si="26"/>
        <v/>
      </c>
      <c r="O452" t="str">
        <f t="shared" si="27"/>
        <v/>
      </c>
    </row>
    <row r="453" spans="10:15" ht="12.75" x14ac:dyDescent="0.2">
      <c r="J453" t="str">
        <f t="shared" si="26"/>
        <v/>
      </c>
      <c r="O453" t="str">
        <f t="shared" si="27"/>
        <v/>
      </c>
    </row>
    <row r="454" spans="10:15" ht="12.75" x14ac:dyDescent="0.2">
      <c r="J454" t="str">
        <f t="shared" si="26"/>
        <v/>
      </c>
      <c r="O454" t="str">
        <f t="shared" si="27"/>
        <v/>
      </c>
    </row>
    <row r="455" spans="10:15" ht="12.75" x14ac:dyDescent="0.2">
      <c r="J455" t="str">
        <f t="shared" si="26"/>
        <v/>
      </c>
      <c r="O455" t="str">
        <f t="shared" si="27"/>
        <v/>
      </c>
    </row>
    <row r="456" spans="10:15" ht="12.75" x14ac:dyDescent="0.2">
      <c r="J456" t="str">
        <f t="shared" si="26"/>
        <v/>
      </c>
      <c r="O456" t="str">
        <f t="shared" si="27"/>
        <v/>
      </c>
    </row>
    <row r="457" spans="10:15" ht="12.75" x14ac:dyDescent="0.2">
      <c r="J457" t="str">
        <f t="shared" si="26"/>
        <v/>
      </c>
      <c r="O457" t="str">
        <f t="shared" si="27"/>
        <v/>
      </c>
    </row>
    <row r="458" spans="10:15" ht="12.75" x14ac:dyDescent="0.2">
      <c r="J458" t="str">
        <f t="shared" si="26"/>
        <v/>
      </c>
      <c r="O458" t="str">
        <f t="shared" si="27"/>
        <v/>
      </c>
    </row>
    <row r="459" spans="10:15" ht="12.75" x14ac:dyDescent="0.2">
      <c r="J459" t="str">
        <f t="shared" si="26"/>
        <v/>
      </c>
      <c r="O459" t="str">
        <f t="shared" si="27"/>
        <v/>
      </c>
    </row>
    <row r="460" spans="10:15" ht="12.75" x14ac:dyDescent="0.2">
      <c r="J460" t="str">
        <f t="shared" si="26"/>
        <v/>
      </c>
      <c r="O460" t="str">
        <f t="shared" si="27"/>
        <v/>
      </c>
    </row>
    <row r="461" spans="10:15" ht="12.75" x14ac:dyDescent="0.2">
      <c r="J461" t="str">
        <f t="shared" si="26"/>
        <v/>
      </c>
      <c r="O461" t="str">
        <f t="shared" si="27"/>
        <v/>
      </c>
    </row>
    <row r="462" spans="10:15" ht="12.75" x14ac:dyDescent="0.2">
      <c r="J462" t="str">
        <f t="shared" si="26"/>
        <v/>
      </c>
      <c r="O462" t="str">
        <f t="shared" si="27"/>
        <v/>
      </c>
    </row>
    <row r="463" spans="10:15" ht="12.75" x14ac:dyDescent="0.2">
      <c r="J463" t="str">
        <f t="shared" si="26"/>
        <v/>
      </c>
      <c r="O463" t="str">
        <f t="shared" si="27"/>
        <v/>
      </c>
    </row>
    <row r="464" spans="10:15" ht="12.75" x14ac:dyDescent="0.2">
      <c r="J464" t="str">
        <f t="shared" si="26"/>
        <v/>
      </c>
      <c r="O464" t="str">
        <f t="shared" si="27"/>
        <v/>
      </c>
    </row>
    <row r="465" spans="10:15" ht="12.75" x14ac:dyDescent="0.2">
      <c r="J465" t="str">
        <f t="shared" si="26"/>
        <v/>
      </c>
      <c r="O465" t="str">
        <f t="shared" si="27"/>
        <v/>
      </c>
    </row>
    <row r="466" spans="10:15" ht="12.75" x14ac:dyDescent="0.2">
      <c r="J466" t="str">
        <f t="shared" si="26"/>
        <v/>
      </c>
      <c r="O466" t="str">
        <f t="shared" si="27"/>
        <v/>
      </c>
    </row>
    <row r="467" spans="10:15" ht="12.75" x14ac:dyDescent="0.2">
      <c r="J467" t="str">
        <f t="shared" si="26"/>
        <v/>
      </c>
      <c r="O467" t="str">
        <f t="shared" si="27"/>
        <v/>
      </c>
    </row>
    <row r="468" spans="10:15" ht="12.75" x14ac:dyDescent="0.2">
      <c r="J468" t="str">
        <f t="shared" si="26"/>
        <v/>
      </c>
      <c r="O468" t="str">
        <f t="shared" si="27"/>
        <v/>
      </c>
    </row>
    <row r="469" spans="10:15" ht="12.75" x14ac:dyDescent="0.2">
      <c r="J469" t="str">
        <f t="shared" si="26"/>
        <v/>
      </c>
      <c r="O469" t="str">
        <f t="shared" si="27"/>
        <v/>
      </c>
    </row>
    <row r="470" spans="10:15" ht="12.75" x14ac:dyDescent="0.2">
      <c r="J470" t="str">
        <f t="shared" si="26"/>
        <v/>
      </c>
      <c r="O470" t="str">
        <f t="shared" si="27"/>
        <v/>
      </c>
    </row>
    <row r="471" spans="10:15" ht="12.75" x14ac:dyDescent="0.2">
      <c r="J471" t="str">
        <f t="shared" si="26"/>
        <v/>
      </c>
      <c r="O471" t="str">
        <f t="shared" si="27"/>
        <v/>
      </c>
    </row>
    <row r="472" spans="10:15" ht="12.75" x14ac:dyDescent="0.2">
      <c r="J472" t="str">
        <f t="shared" si="26"/>
        <v/>
      </c>
      <c r="O472" t="str">
        <f t="shared" si="27"/>
        <v/>
      </c>
    </row>
    <row r="473" spans="10:15" ht="12.75" x14ac:dyDescent="0.2">
      <c r="J473" t="str">
        <f t="shared" si="26"/>
        <v/>
      </c>
      <c r="O473" t="str">
        <f t="shared" si="27"/>
        <v/>
      </c>
    </row>
    <row r="474" spans="10:15" ht="12.75" x14ac:dyDescent="0.2">
      <c r="J474" t="str">
        <f t="shared" si="26"/>
        <v/>
      </c>
      <c r="O474" t="str">
        <f t="shared" si="27"/>
        <v/>
      </c>
    </row>
    <row r="475" spans="10:15" ht="12.75" x14ac:dyDescent="0.2">
      <c r="J475" t="str">
        <f t="shared" si="26"/>
        <v/>
      </c>
      <c r="O475" t="str">
        <f t="shared" si="27"/>
        <v/>
      </c>
    </row>
    <row r="476" spans="10:15" ht="12.75" x14ac:dyDescent="0.2">
      <c r="J476" t="str">
        <f t="shared" si="26"/>
        <v/>
      </c>
      <c r="O476" t="str">
        <f t="shared" si="27"/>
        <v/>
      </c>
    </row>
    <row r="477" spans="10:15" ht="12.75" x14ac:dyDescent="0.2">
      <c r="J477" t="str">
        <f t="shared" si="26"/>
        <v/>
      </c>
      <c r="O477" t="str">
        <f t="shared" si="27"/>
        <v/>
      </c>
    </row>
    <row r="478" spans="10:15" ht="12.75" x14ac:dyDescent="0.2">
      <c r="J478" t="str">
        <f t="shared" si="26"/>
        <v/>
      </c>
      <c r="O478" t="str">
        <f t="shared" si="27"/>
        <v/>
      </c>
    </row>
    <row r="479" spans="10:15" ht="12.75" x14ac:dyDescent="0.2">
      <c r="J479" t="str">
        <f t="shared" si="26"/>
        <v/>
      </c>
      <c r="O479" t="str">
        <f t="shared" si="27"/>
        <v/>
      </c>
    </row>
    <row r="480" spans="10:15" ht="12.75" x14ac:dyDescent="0.2">
      <c r="J480" t="str">
        <f t="shared" ref="J480:J500" si="28">IF(I480="", "", IFERROR(VLOOKUP(I480&amp;"", $B$4:$C$5005, 2, FALSE), "NO EXISTE"))</f>
        <v/>
      </c>
      <c r="O480" t="str">
        <f t="shared" ref="O480:O500" si="29">IF(N480="", "", IFERROR(VLOOKUP(N480&amp;"", $B$4:$C$5005, 2, FALSE), "NO EXISTE"))</f>
        <v/>
      </c>
    </row>
    <row r="481" spans="10:15" ht="12.75" x14ac:dyDescent="0.2">
      <c r="J481" t="str">
        <f t="shared" si="28"/>
        <v/>
      </c>
      <c r="O481" t="str">
        <f t="shared" si="29"/>
        <v/>
      </c>
    </row>
    <row r="482" spans="10:15" ht="12.75" x14ac:dyDescent="0.2">
      <c r="J482" t="str">
        <f t="shared" si="28"/>
        <v/>
      </c>
      <c r="O482" t="str">
        <f t="shared" si="29"/>
        <v/>
      </c>
    </row>
    <row r="483" spans="10:15" ht="12.75" x14ac:dyDescent="0.2">
      <c r="J483" t="str">
        <f t="shared" si="28"/>
        <v/>
      </c>
      <c r="O483" t="str">
        <f t="shared" si="29"/>
        <v/>
      </c>
    </row>
    <row r="484" spans="10:15" ht="12.75" x14ac:dyDescent="0.2">
      <c r="J484" t="str">
        <f t="shared" si="28"/>
        <v/>
      </c>
      <c r="O484" t="str">
        <f t="shared" si="29"/>
        <v/>
      </c>
    </row>
    <row r="485" spans="10:15" ht="12.75" x14ac:dyDescent="0.2">
      <c r="J485" t="str">
        <f t="shared" si="28"/>
        <v/>
      </c>
      <c r="O485" t="str">
        <f t="shared" si="29"/>
        <v/>
      </c>
    </row>
    <row r="486" spans="10:15" ht="12.75" x14ac:dyDescent="0.2">
      <c r="J486" t="str">
        <f t="shared" si="28"/>
        <v/>
      </c>
      <c r="O486" t="str">
        <f t="shared" si="29"/>
        <v/>
      </c>
    </row>
    <row r="487" spans="10:15" ht="12.75" x14ac:dyDescent="0.2">
      <c r="J487" t="str">
        <f t="shared" si="28"/>
        <v/>
      </c>
      <c r="O487" t="str">
        <f t="shared" si="29"/>
        <v/>
      </c>
    </row>
    <row r="488" spans="10:15" ht="12.75" x14ac:dyDescent="0.2">
      <c r="J488" t="str">
        <f t="shared" si="28"/>
        <v/>
      </c>
      <c r="O488" t="str">
        <f t="shared" si="29"/>
        <v/>
      </c>
    </row>
    <row r="489" spans="10:15" ht="12.75" x14ac:dyDescent="0.2">
      <c r="J489" t="str">
        <f t="shared" si="28"/>
        <v/>
      </c>
      <c r="O489" t="str">
        <f t="shared" si="29"/>
        <v/>
      </c>
    </row>
    <row r="490" spans="10:15" ht="12.75" x14ac:dyDescent="0.2">
      <c r="J490" t="str">
        <f t="shared" si="28"/>
        <v/>
      </c>
      <c r="O490" t="str">
        <f t="shared" si="29"/>
        <v/>
      </c>
    </row>
    <row r="491" spans="10:15" ht="12.75" x14ac:dyDescent="0.2">
      <c r="J491" t="str">
        <f t="shared" si="28"/>
        <v/>
      </c>
      <c r="O491" t="str">
        <f t="shared" si="29"/>
        <v/>
      </c>
    </row>
    <row r="492" spans="10:15" ht="12.75" x14ac:dyDescent="0.2">
      <c r="J492" t="str">
        <f t="shared" si="28"/>
        <v/>
      </c>
      <c r="O492" t="str">
        <f t="shared" si="29"/>
        <v/>
      </c>
    </row>
    <row r="493" spans="10:15" ht="12.75" x14ac:dyDescent="0.2">
      <c r="J493" t="str">
        <f t="shared" si="28"/>
        <v/>
      </c>
      <c r="O493" t="str">
        <f t="shared" si="29"/>
        <v/>
      </c>
    </row>
    <row r="494" spans="10:15" ht="12.75" x14ac:dyDescent="0.2">
      <c r="J494" t="str">
        <f t="shared" si="28"/>
        <v/>
      </c>
      <c r="O494" t="str">
        <f t="shared" si="29"/>
        <v/>
      </c>
    </row>
    <row r="495" spans="10:15" ht="12.75" x14ac:dyDescent="0.2">
      <c r="J495" t="str">
        <f t="shared" si="28"/>
        <v/>
      </c>
      <c r="O495" t="str">
        <f t="shared" si="29"/>
        <v/>
      </c>
    </row>
    <row r="496" spans="10:15" ht="12.75" x14ac:dyDescent="0.2">
      <c r="J496" t="str">
        <f t="shared" si="28"/>
        <v/>
      </c>
      <c r="O496" t="str">
        <f t="shared" si="29"/>
        <v/>
      </c>
    </row>
    <row r="497" spans="10:15" ht="12.75" x14ac:dyDescent="0.2">
      <c r="J497" t="str">
        <f t="shared" si="28"/>
        <v/>
      </c>
      <c r="O497" t="str">
        <f t="shared" si="29"/>
        <v/>
      </c>
    </row>
    <row r="498" spans="10:15" ht="12.75" x14ac:dyDescent="0.2">
      <c r="J498" t="str">
        <f t="shared" si="28"/>
        <v/>
      </c>
      <c r="O498" t="str">
        <f t="shared" si="29"/>
        <v/>
      </c>
    </row>
    <row r="499" spans="10:15" ht="12.75" x14ac:dyDescent="0.2">
      <c r="J499" t="str">
        <f t="shared" si="28"/>
        <v/>
      </c>
      <c r="O499" t="str">
        <f t="shared" si="29"/>
        <v/>
      </c>
    </row>
    <row r="500" spans="10:15" ht="12.75" x14ac:dyDescent="0.2">
      <c r="J500" t="str">
        <f t="shared" si="28"/>
        <v/>
      </c>
      <c r="O500" t="str">
        <f t="shared" si="29"/>
        <v/>
      </c>
    </row>
  </sheetData>
  <mergeCells count="3">
    <mergeCell ref="J2:M2"/>
    <mergeCell ref="O2:R2"/>
    <mergeCell ref="B2:G2"/>
  </mergeCells>
  <pageMargins left="0.7" right="0.7" top="0.75" bottom="0.75" header="0.3" footer="0.3"/>
  <pageSetup orientation="portrait" r:id="rId1"/>
  <ignoredErrors>
    <ignoredError sqref="D291" numberStoredAsText="1"/>
  </ignoredErrors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500"/>
  <sheetViews>
    <sheetView showGridLines="0" workbookViewId="0">
      <selection activeCell="C37" sqref="C37"/>
    </sheetView>
  </sheetViews>
  <sheetFormatPr baseColWidth="10" defaultColWidth="12.7109375" defaultRowHeight="15.75" customHeight="1" x14ac:dyDescent="0.2"/>
  <cols>
    <col min="1" max="1" width="3.140625" customWidth="1"/>
    <col min="3" max="3" width="71.85546875" customWidth="1"/>
    <col min="7" max="8" width="2.85546875" customWidth="1"/>
    <col min="10" max="10" width="14.140625" customWidth="1"/>
    <col min="13" max="13" width="2.85546875" customWidth="1"/>
    <col min="15" max="15" width="13.85546875" customWidth="1"/>
  </cols>
  <sheetData>
    <row r="1" spans="1:27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1"/>
      <c r="B2" s="101" t="s">
        <v>0</v>
      </c>
      <c r="C2" s="102"/>
      <c r="D2" s="102"/>
      <c r="E2" s="102"/>
      <c r="F2" s="103"/>
      <c r="G2" s="1"/>
      <c r="H2" s="1"/>
      <c r="I2" s="101" t="s">
        <v>1</v>
      </c>
      <c r="J2" s="102"/>
      <c r="K2" s="102"/>
      <c r="L2" s="103"/>
      <c r="M2" s="1"/>
      <c r="N2" s="101" t="s">
        <v>2</v>
      </c>
      <c r="O2" s="102"/>
      <c r="P2" s="102"/>
      <c r="Q2" s="103"/>
      <c r="R2" s="1"/>
    </row>
    <row r="3" spans="1:27" ht="46.5" customHeight="1" x14ac:dyDescent="0.2">
      <c r="A3" s="1"/>
      <c r="B3" s="16" t="s">
        <v>3</v>
      </c>
      <c r="C3" s="16" t="s">
        <v>4</v>
      </c>
      <c r="D3" s="42" t="s">
        <v>1</v>
      </c>
      <c r="E3" s="42" t="s">
        <v>2</v>
      </c>
      <c r="F3" s="43" t="s">
        <v>5</v>
      </c>
      <c r="G3" s="32"/>
      <c r="H3" s="32"/>
      <c r="I3" s="29" t="s">
        <v>6</v>
      </c>
      <c r="J3" s="30" t="s">
        <v>7</v>
      </c>
      <c r="K3" s="30" t="s">
        <v>8</v>
      </c>
      <c r="L3" s="31" t="s">
        <v>9</v>
      </c>
      <c r="M3" s="32"/>
      <c r="N3" s="29" t="s">
        <v>6</v>
      </c>
      <c r="O3" s="30" t="s">
        <v>7</v>
      </c>
      <c r="P3" s="30" t="s">
        <v>8</v>
      </c>
      <c r="Q3" s="31" t="s">
        <v>9</v>
      </c>
      <c r="R3" s="1"/>
    </row>
    <row r="4" spans="1:27" ht="15.75" customHeight="1" x14ac:dyDescent="0.2">
      <c r="A4" s="1"/>
      <c r="B4" s="17" t="s">
        <v>10</v>
      </c>
      <c r="C4" s="17" t="s">
        <v>11</v>
      </c>
      <c r="D4" s="19">
        <f t="shared" ref="D4:D67" si="0">SUMIF($I$4:$I$5000, B4, $L$4:$L$5000)</f>
        <v>3</v>
      </c>
      <c r="E4" s="19">
        <f t="shared" ref="E4:E67" si="1">SUMIF($N$4:$N$5000, B4, $Q$4:$Q$5000)</f>
        <v>6</v>
      </c>
      <c r="F4" s="4">
        <f t="shared" ref="F4:F67" si="2">D4-E4</f>
        <v>-3</v>
      </c>
      <c r="G4" s="5"/>
      <c r="H4" s="1"/>
      <c r="I4" s="6">
        <v>10282</v>
      </c>
      <c r="J4" s="19" t="str">
        <f t="shared" ref="J4:J67" si="3">IF(I4="", "", IFERROR(VLOOKUP(I4&amp;"", $B$4:$C$5000, 2, FALSE), "NO EXISTE"))</f>
        <v>Conector Glándula 3/4"</v>
      </c>
      <c r="K4" s="7">
        <v>46263</v>
      </c>
      <c r="L4" s="14">
        <v>3</v>
      </c>
      <c r="M4" s="1"/>
      <c r="N4" s="6">
        <v>10282</v>
      </c>
      <c r="O4" s="19" t="str">
        <f t="shared" ref="O4:O67" si="4">IF(N4="", "", IFERROR(VLOOKUP(N4&amp;"", $B$4:$C$5000, 2, FALSE), "NO EXISTE"))</f>
        <v>Conector Glándula 3/4"</v>
      </c>
      <c r="P4" s="7">
        <v>45659</v>
      </c>
      <c r="Q4" s="14">
        <v>6</v>
      </c>
      <c r="R4" s="1"/>
    </row>
    <row r="5" spans="1:27" ht="15.75" customHeight="1" x14ac:dyDescent="0.2">
      <c r="A5" s="1"/>
      <c r="B5" s="17" t="s">
        <v>12</v>
      </c>
      <c r="C5" s="17" t="s">
        <v>13</v>
      </c>
      <c r="D5" s="19">
        <f t="shared" si="0"/>
        <v>0</v>
      </c>
      <c r="E5" s="19">
        <f t="shared" si="1"/>
        <v>0</v>
      </c>
      <c r="F5" s="4">
        <f t="shared" si="2"/>
        <v>0</v>
      </c>
      <c r="G5" s="5"/>
      <c r="H5" s="1"/>
      <c r="I5" s="9"/>
      <c r="J5" s="19" t="str">
        <f t="shared" si="3"/>
        <v/>
      </c>
      <c r="K5" s="10"/>
      <c r="L5" s="11"/>
      <c r="M5" s="1"/>
      <c r="N5" s="9"/>
      <c r="O5" s="19" t="str">
        <f t="shared" si="4"/>
        <v/>
      </c>
      <c r="P5" s="10"/>
      <c r="Q5" s="11"/>
      <c r="R5" s="1"/>
    </row>
    <row r="6" spans="1:27" ht="15.75" customHeight="1" x14ac:dyDescent="0.2">
      <c r="A6" s="1"/>
      <c r="B6" s="17" t="s">
        <v>14</v>
      </c>
      <c r="C6" s="17" t="s">
        <v>15</v>
      </c>
      <c r="D6" s="19">
        <f t="shared" si="0"/>
        <v>0</v>
      </c>
      <c r="E6" s="19">
        <f t="shared" si="1"/>
        <v>0</v>
      </c>
      <c r="F6" s="4">
        <f t="shared" si="2"/>
        <v>0</v>
      </c>
      <c r="G6" s="5"/>
      <c r="H6" s="1"/>
      <c r="I6" s="6"/>
      <c r="J6" s="19" t="str">
        <f t="shared" si="3"/>
        <v/>
      </c>
      <c r="K6" s="7"/>
      <c r="L6" s="14"/>
      <c r="M6" s="1"/>
      <c r="N6" s="6"/>
      <c r="O6" s="19" t="str">
        <f t="shared" si="4"/>
        <v/>
      </c>
      <c r="P6" s="7"/>
      <c r="Q6" s="14"/>
      <c r="R6" s="1"/>
    </row>
    <row r="7" spans="1:27" ht="15.75" customHeight="1" x14ac:dyDescent="0.2">
      <c r="A7" s="1"/>
      <c r="B7" s="17" t="s">
        <v>16</v>
      </c>
      <c r="C7" s="17" t="s">
        <v>17</v>
      </c>
      <c r="D7" s="19">
        <f t="shared" si="0"/>
        <v>0</v>
      </c>
      <c r="E7" s="19">
        <f t="shared" si="1"/>
        <v>0</v>
      </c>
      <c r="F7" s="4">
        <f t="shared" si="2"/>
        <v>0</v>
      </c>
      <c r="G7" s="5"/>
      <c r="H7" s="1"/>
      <c r="I7" s="9"/>
      <c r="J7" s="19" t="str">
        <f t="shared" si="3"/>
        <v/>
      </c>
      <c r="K7" s="10"/>
      <c r="L7" s="11"/>
      <c r="M7" s="1"/>
      <c r="N7" s="9"/>
      <c r="O7" s="19" t="str">
        <f t="shared" si="4"/>
        <v/>
      </c>
      <c r="P7" s="10"/>
      <c r="Q7" s="11"/>
      <c r="R7" s="1"/>
    </row>
    <row r="8" spans="1:27" ht="15.75" customHeight="1" x14ac:dyDescent="0.2">
      <c r="A8" s="1"/>
      <c r="B8" s="17" t="s">
        <v>18</v>
      </c>
      <c r="C8" s="17" t="s">
        <v>19</v>
      </c>
      <c r="D8" s="19">
        <f t="shared" si="0"/>
        <v>0</v>
      </c>
      <c r="E8" s="19">
        <f t="shared" si="1"/>
        <v>0</v>
      </c>
      <c r="F8" s="4">
        <f t="shared" si="2"/>
        <v>0</v>
      </c>
      <c r="G8" s="1"/>
      <c r="H8" s="1"/>
      <c r="I8" s="6"/>
      <c r="J8" s="19" t="str">
        <f t="shared" si="3"/>
        <v/>
      </c>
      <c r="K8" s="7"/>
      <c r="L8" s="14"/>
      <c r="M8" s="1"/>
      <c r="N8" s="6"/>
      <c r="O8" s="19" t="str">
        <f t="shared" si="4"/>
        <v/>
      </c>
      <c r="P8" s="7"/>
      <c r="Q8" s="14"/>
      <c r="R8" s="1"/>
    </row>
    <row r="9" spans="1:27" ht="15.75" customHeight="1" x14ac:dyDescent="0.2">
      <c r="A9" s="1"/>
      <c r="B9" s="17" t="s">
        <v>20</v>
      </c>
      <c r="C9" s="17" t="s">
        <v>21</v>
      </c>
      <c r="D9" s="19">
        <f t="shared" si="0"/>
        <v>0</v>
      </c>
      <c r="E9" s="19">
        <f t="shared" si="1"/>
        <v>0</v>
      </c>
      <c r="F9" s="4">
        <f t="shared" si="2"/>
        <v>0</v>
      </c>
      <c r="G9" s="1"/>
      <c r="H9" s="1"/>
      <c r="I9" s="9"/>
      <c r="J9" s="19" t="str">
        <f t="shared" si="3"/>
        <v/>
      </c>
      <c r="K9" s="10"/>
      <c r="L9" s="11"/>
      <c r="M9" s="1"/>
      <c r="N9" s="9"/>
      <c r="O9" s="19" t="str">
        <f t="shared" si="4"/>
        <v/>
      </c>
      <c r="P9" s="10"/>
      <c r="Q9" s="11"/>
      <c r="R9" s="1"/>
    </row>
    <row r="10" spans="1:27" ht="15.75" customHeight="1" x14ac:dyDescent="0.2">
      <c r="A10" s="1"/>
      <c r="B10" s="17" t="s">
        <v>22</v>
      </c>
      <c r="C10" s="17" t="s">
        <v>23</v>
      </c>
      <c r="D10" s="19">
        <f t="shared" si="0"/>
        <v>0</v>
      </c>
      <c r="E10" s="19">
        <f t="shared" si="1"/>
        <v>0</v>
      </c>
      <c r="F10" s="4">
        <f t="shared" si="2"/>
        <v>0</v>
      </c>
      <c r="G10" s="1"/>
      <c r="H10" s="1"/>
      <c r="I10" s="6"/>
      <c r="J10" s="19" t="str">
        <f t="shared" si="3"/>
        <v/>
      </c>
      <c r="K10" s="7"/>
      <c r="L10" s="14"/>
      <c r="M10" s="1"/>
      <c r="N10" s="6"/>
      <c r="O10" s="19" t="str">
        <f t="shared" si="4"/>
        <v/>
      </c>
      <c r="P10" s="7"/>
      <c r="Q10" s="14"/>
      <c r="R10" s="1"/>
    </row>
    <row r="11" spans="1:27" ht="15.75" customHeight="1" x14ac:dyDescent="0.2">
      <c r="A11" s="1"/>
      <c r="B11" s="17" t="s">
        <v>24</v>
      </c>
      <c r="C11" s="17" t="s">
        <v>25</v>
      </c>
      <c r="D11" s="19">
        <f t="shared" si="0"/>
        <v>0</v>
      </c>
      <c r="E11" s="19">
        <f t="shared" si="1"/>
        <v>0</v>
      </c>
      <c r="F11" s="4">
        <f t="shared" si="2"/>
        <v>0</v>
      </c>
      <c r="G11" s="1"/>
      <c r="H11" s="1"/>
      <c r="I11" s="9"/>
      <c r="J11" s="19" t="str">
        <f t="shared" si="3"/>
        <v/>
      </c>
      <c r="K11" s="10"/>
      <c r="L11" s="11"/>
      <c r="M11" s="1"/>
      <c r="N11" s="9"/>
      <c r="O11" s="19" t="str">
        <f t="shared" si="4"/>
        <v/>
      </c>
      <c r="P11" s="10"/>
      <c r="Q11" s="11"/>
      <c r="R11" s="1"/>
    </row>
    <row r="12" spans="1:27" ht="15.75" customHeight="1" x14ac:dyDescent="0.2">
      <c r="A12" s="1"/>
      <c r="B12" s="17" t="s">
        <v>26</v>
      </c>
      <c r="C12" s="17" t="s">
        <v>27</v>
      </c>
      <c r="D12" s="19">
        <f t="shared" si="0"/>
        <v>0</v>
      </c>
      <c r="E12" s="19">
        <f t="shared" si="1"/>
        <v>0</v>
      </c>
      <c r="F12" s="4">
        <f t="shared" si="2"/>
        <v>0</v>
      </c>
      <c r="G12" s="1"/>
      <c r="H12" s="1"/>
      <c r="I12" s="6"/>
      <c r="J12" s="19" t="str">
        <f t="shared" si="3"/>
        <v/>
      </c>
      <c r="K12" s="7"/>
      <c r="L12" s="14"/>
      <c r="M12" s="1"/>
      <c r="N12" s="6"/>
      <c r="O12" s="19" t="str">
        <f t="shared" si="4"/>
        <v/>
      </c>
      <c r="P12" s="7"/>
      <c r="Q12" s="14"/>
      <c r="R12" s="1"/>
    </row>
    <row r="13" spans="1:27" ht="15.75" customHeight="1" x14ac:dyDescent="0.2">
      <c r="A13" s="1"/>
      <c r="B13" s="17" t="s">
        <v>28</v>
      </c>
      <c r="C13" s="17" t="s">
        <v>29</v>
      </c>
      <c r="D13" s="19">
        <f t="shared" si="0"/>
        <v>0</v>
      </c>
      <c r="E13" s="19">
        <f t="shared" si="1"/>
        <v>0</v>
      </c>
      <c r="F13" s="4">
        <f t="shared" si="2"/>
        <v>0</v>
      </c>
      <c r="G13" s="1"/>
      <c r="H13" s="1"/>
      <c r="I13" s="9"/>
      <c r="J13" s="19" t="str">
        <f t="shared" si="3"/>
        <v/>
      </c>
      <c r="K13" s="10"/>
      <c r="L13" s="11"/>
      <c r="M13" s="1"/>
      <c r="N13" s="9"/>
      <c r="O13" s="19" t="str">
        <f t="shared" si="4"/>
        <v/>
      </c>
      <c r="P13" s="10"/>
      <c r="Q13" s="11"/>
      <c r="R13" s="1"/>
    </row>
    <row r="14" spans="1:27" ht="15.75" customHeight="1" x14ac:dyDescent="0.2">
      <c r="A14" s="1"/>
      <c r="B14" s="17" t="s">
        <v>30</v>
      </c>
      <c r="C14" s="17" t="s">
        <v>31</v>
      </c>
      <c r="D14" s="19">
        <f t="shared" si="0"/>
        <v>0</v>
      </c>
      <c r="E14" s="19">
        <f t="shared" si="1"/>
        <v>0</v>
      </c>
      <c r="F14" s="4">
        <f t="shared" si="2"/>
        <v>0</v>
      </c>
      <c r="G14" s="1"/>
      <c r="H14" s="1"/>
      <c r="I14" s="6"/>
      <c r="J14" s="19" t="str">
        <f t="shared" si="3"/>
        <v/>
      </c>
      <c r="K14" s="7"/>
      <c r="L14" s="14"/>
      <c r="M14" s="1"/>
      <c r="N14" s="6"/>
      <c r="O14" s="19" t="str">
        <f t="shared" si="4"/>
        <v/>
      </c>
      <c r="P14" s="7"/>
      <c r="Q14" s="14"/>
      <c r="R14" s="1"/>
    </row>
    <row r="15" spans="1:27" ht="15.75" customHeight="1" x14ac:dyDescent="0.2">
      <c r="A15" s="1"/>
      <c r="B15" s="17" t="s">
        <v>32</v>
      </c>
      <c r="C15" s="17" t="s">
        <v>33</v>
      </c>
      <c r="D15" s="19">
        <f t="shared" si="0"/>
        <v>0</v>
      </c>
      <c r="E15" s="19">
        <f t="shared" si="1"/>
        <v>0</v>
      </c>
      <c r="F15" s="4">
        <f t="shared" si="2"/>
        <v>0</v>
      </c>
      <c r="G15" s="1"/>
      <c r="H15" s="1"/>
      <c r="I15" s="9"/>
      <c r="J15" s="19" t="str">
        <f t="shared" si="3"/>
        <v/>
      </c>
      <c r="K15" s="10"/>
      <c r="L15" s="11"/>
      <c r="M15" s="1"/>
      <c r="N15" s="9"/>
      <c r="O15" s="19" t="str">
        <f t="shared" si="4"/>
        <v/>
      </c>
      <c r="P15" s="10"/>
      <c r="Q15" s="11"/>
      <c r="R15" s="1"/>
    </row>
    <row r="16" spans="1:27" ht="15.75" customHeight="1" x14ac:dyDescent="0.2">
      <c r="A16" s="1"/>
      <c r="B16" s="17" t="s">
        <v>34</v>
      </c>
      <c r="C16" s="17" t="s">
        <v>35</v>
      </c>
      <c r="D16" s="19">
        <f t="shared" si="0"/>
        <v>0</v>
      </c>
      <c r="E16" s="19">
        <f t="shared" si="1"/>
        <v>0</v>
      </c>
      <c r="F16" s="4">
        <f t="shared" si="2"/>
        <v>0</v>
      </c>
      <c r="G16" s="1"/>
      <c r="H16" s="1"/>
      <c r="I16" s="6"/>
      <c r="J16" s="19" t="str">
        <f t="shared" si="3"/>
        <v/>
      </c>
      <c r="K16" s="7"/>
      <c r="L16" s="14"/>
      <c r="M16" s="1"/>
      <c r="N16" s="6"/>
      <c r="O16" s="19" t="str">
        <f t="shared" si="4"/>
        <v/>
      </c>
      <c r="P16" s="7"/>
      <c r="Q16" s="14"/>
      <c r="R16" s="1"/>
    </row>
    <row r="17" spans="2:17" ht="15.75" customHeight="1" x14ac:dyDescent="0.2">
      <c r="B17" s="17" t="s">
        <v>36</v>
      </c>
      <c r="C17" s="17" t="s">
        <v>37</v>
      </c>
      <c r="D17" s="19">
        <f t="shared" si="0"/>
        <v>0</v>
      </c>
      <c r="E17" s="19">
        <f t="shared" si="1"/>
        <v>0</v>
      </c>
      <c r="F17" s="4">
        <f t="shared" si="2"/>
        <v>0</v>
      </c>
      <c r="I17" s="9"/>
      <c r="J17" s="19" t="str">
        <f t="shared" si="3"/>
        <v/>
      </c>
      <c r="K17" s="10"/>
      <c r="L17" s="11"/>
      <c r="N17" s="9"/>
      <c r="O17" s="19" t="str">
        <f t="shared" si="4"/>
        <v/>
      </c>
      <c r="P17" s="10"/>
      <c r="Q17" s="11"/>
    </row>
    <row r="18" spans="2:17" ht="15.75" customHeight="1" x14ac:dyDescent="0.2">
      <c r="B18" s="17" t="s">
        <v>38</v>
      </c>
      <c r="C18" s="17" t="s">
        <v>39</v>
      </c>
      <c r="D18" s="19">
        <f t="shared" si="0"/>
        <v>0</v>
      </c>
      <c r="E18" s="19">
        <f t="shared" si="1"/>
        <v>0</v>
      </c>
      <c r="F18" s="4">
        <f t="shared" si="2"/>
        <v>0</v>
      </c>
      <c r="I18" s="6"/>
      <c r="J18" s="19" t="str">
        <f t="shared" si="3"/>
        <v/>
      </c>
      <c r="K18" s="7"/>
      <c r="L18" s="14"/>
      <c r="N18" s="6"/>
      <c r="O18" s="19" t="str">
        <f t="shared" si="4"/>
        <v/>
      </c>
      <c r="P18" s="7"/>
      <c r="Q18" s="14"/>
    </row>
    <row r="19" spans="2:17" ht="15.75" customHeight="1" x14ac:dyDescent="0.2">
      <c r="B19" s="17" t="s">
        <v>40</v>
      </c>
      <c r="C19" s="17" t="s">
        <v>41</v>
      </c>
      <c r="D19" s="19">
        <f t="shared" si="0"/>
        <v>0</v>
      </c>
      <c r="E19" s="19">
        <f t="shared" si="1"/>
        <v>0</v>
      </c>
      <c r="F19" s="4">
        <f t="shared" si="2"/>
        <v>0</v>
      </c>
      <c r="I19" s="9"/>
      <c r="J19" s="19" t="str">
        <f t="shared" si="3"/>
        <v/>
      </c>
      <c r="K19" s="10"/>
      <c r="L19" s="11"/>
      <c r="N19" s="9"/>
      <c r="O19" s="19" t="str">
        <f t="shared" si="4"/>
        <v/>
      </c>
      <c r="P19" s="10"/>
      <c r="Q19" s="11"/>
    </row>
    <row r="20" spans="2:17" ht="15.75" customHeight="1" x14ac:dyDescent="0.2">
      <c r="B20" s="17" t="s">
        <v>42</v>
      </c>
      <c r="C20" s="17" t="s">
        <v>43</v>
      </c>
      <c r="D20" s="19">
        <f t="shared" si="0"/>
        <v>0</v>
      </c>
      <c r="E20" s="19">
        <f t="shared" si="1"/>
        <v>0</v>
      </c>
      <c r="F20" s="4">
        <f t="shared" si="2"/>
        <v>0</v>
      </c>
      <c r="I20" s="6"/>
      <c r="J20" s="19" t="str">
        <f t="shared" si="3"/>
        <v/>
      </c>
      <c r="K20" s="7"/>
      <c r="L20" s="14"/>
      <c r="N20" s="6"/>
      <c r="O20" s="19" t="str">
        <f t="shared" si="4"/>
        <v/>
      </c>
      <c r="P20" s="7"/>
      <c r="Q20" s="14"/>
    </row>
    <row r="21" spans="2:17" ht="15.75" customHeight="1" x14ac:dyDescent="0.2">
      <c r="B21" s="17" t="s">
        <v>44</v>
      </c>
      <c r="C21" s="17" t="s">
        <v>45</v>
      </c>
      <c r="D21" s="19">
        <f t="shared" si="0"/>
        <v>0</v>
      </c>
      <c r="E21" s="19">
        <f t="shared" si="1"/>
        <v>0</v>
      </c>
      <c r="F21" s="4">
        <f t="shared" si="2"/>
        <v>0</v>
      </c>
      <c r="I21" s="9"/>
      <c r="J21" s="19" t="str">
        <f t="shared" si="3"/>
        <v/>
      </c>
      <c r="K21" s="10"/>
      <c r="L21" s="11"/>
      <c r="N21" s="9"/>
      <c r="O21" s="19" t="str">
        <f t="shared" si="4"/>
        <v/>
      </c>
      <c r="P21" s="10"/>
      <c r="Q21" s="11"/>
    </row>
    <row r="22" spans="2:17" ht="15.75" customHeight="1" x14ac:dyDescent="0.2">
      <c r="B22" s="17" t="s">
        <v>46</v>
      </c>
      <c r="C22" s="17" t="s">
        <v>47</v>
      </c>
      <c r="D22" s="19">
        <f t="shared" si="0"/>
        <v>0</v>
      </c>
      <c r="E22" s="19">
        <f t="shared" si="1"/>
        <v>0</v>
      </c>
      <c r="F22" s="4">
        <f t="shared" si="2"/>
        <v>0</v>
      </c>
      <c r="I22" s="6"/>
      <c r="J22" s="19" t="str">
        <f t="shared" si="3"/>
        <v/>
      </c>
      <c r="K22" s="7"/>
      <c r="L22" s="14"/>
      <c r="N22" s="6"/>
      <c r="O22" s="19" t="str">
        <f t="shared" si="4"/>
        <v/>
      </c>
      <c r="P22" s="7"/>
      <c r="Q22" s="14"/>
    </row>
    <row r="23" spans="2:17" ht="15.75" customHeight="1" x14ac:dyDescent="0.2">
      <c r="B23" s="17" t="s">
        <v>48</v>
      </c>
      <c r="C23" s="17" t="s">
        <v>49</v>
      </c>
      <c r="D23" s="19">
        <f t="shared" si="0"/>
        <v>0</v>
      </c>
      <c r="E23" s="19">
        <f t="shared" si="1"/>
        <v>0</v>
      </c>
      <c r="F23" s="4">
        <f t="shared" si="2"/>
        <v>0</v>
      </c>
      <c r="I23" s="9"/>
      <c r="J23" s="19" t="str">
        <f t="shared" si="3"/>
        <v/>
      </c>
      <c r="K23" s="10"/>
      <c r="L23" s="11"/>
      <c r="N23" s="9"/>
      <c r="O23" s="19" t="str">
        <f t="shared" si="4"/>
        <v/>
      </c>
      <c r="P23" s="10"/>
      <c r="Q23" s="11"/>
    </row>
    <row r="24" spans="2:17" ht="15.75" customHeight="1" x14ac:dyDescent="0.2">
      <c r="B24" s="17" t="s">
        <v>50</v>
      </c>
      <c r="C24" s="17" t="s">
        <v>51</v>
      </c>
      <c r="D24" s="19">
        <f t="shared" si="0"/>
        <v>0</v>
      </c>
      <c r="E24" s="19">
        <f t="shared" si="1"/>
        <v>0</v>
      </c>
      <c r="F24" s="4">
        <f t="shared" si="2"/>
        <v>0</v>
      </c>
      <c r="I24" s="6"/>
      <c r="J24" s="19" t="str">
        <f t="shared" si="3"/>
        <v/>
      </c>
      <c r="K24" s="7"/>
      <c r="L24" s="14"/>
      <c r="N24" s="6"/>
      <c r="O24" s="19" t="str">
        <f t="shared" si="4"/>
        <v/>
      </c>
      <c r="P24" s="7"/>
      <c r="Q24" s="14"/>
    </row>
    <row r="25" spans="2:17" ht="15.75" customHeight="1" x14ac:dyDescent="0.2">
      <c r="B25" s="17" t="s">
        <v>52</v>
      </c>
      <c r="C25" s="17" t="s">
        <v>53</v>
      </c>
      <c r="D25" s="19">
        <f t="shared" si="0"/>
        <v>0</v>
      </c>
      <c r="E25" s="19">
        <f t="shared" si="1"/>
        <v>0</v>
      </c>
      <c r="F25" s="4">
        <f t="shared" si="2"/>
        <v>0</v>
      </c>
      <c r="I25" s="9"/>
      <c r="J25" s="19" t="str">
        <f t="shared" si="3"/>
        <v/>
      </c>
      <c r="K25" s="10"/>
      <c r="L25" s="11"/>
      <c r="N25" s="9"/>
      <c r="O25" s="19" t="str">
        <f t="shared" si="4"/>
        <v/>
      </c>
      <c r="P25" s="10"/>
      <c r="Q25" s="11"/>
    </row>
    <row r="26" spans="2:17" ht="15.75" customHeight="1" x14ac:dyDescent="0.2">
      <c r="B26" s="17" t="s">
        <v>54</v>
      </c>
      <c r="C26" s="17" t="s">
        <v>55</v>
      </c>
      <c r="D26" s="19">
        <f t="shared" si="0"/>
        <v>0</v>
      </c>
      <c r="E26" s="19">
        <f t="shared" si="1"/>
        <v>0</v>
      </c>
      <c r="F26" s="4">
        <f t="shared" si="2"/>
        <v>0</v>
      </c>
      <c r="I26" s="6"/>
      <c r="J26" s="19" t="str">
        <f t="shared" si="3"/>
        <v/>
      </c>
      <c r="K26" s="7"/>
      <c r="L26" s="14"/>
      <c r="N26" s="6"/>
      <c r="O26" s="19" t="str">
        <f t="shared" si="4"/>
        <v/>
      </c>
      <c r="P26" s="7"/>
      <c r="Q26" s="14"/>
    </row>
    <row r="27" spans="2:17" ht="15.75" customHeight="1" x14ac:dyDescent="0.2">
      <c r="B27" s="17" t="s">
        <v>56</v>
      </c>
      <c r="C27" s="17" t="s">
        <v>57</v>
      </c>
      <c r="D27" s="19">
        <f t="shared" si="0"/>
        <v>0</v>
      </c>
      <c r="E27" s="19">
        <f t="shared" si="1"/>
        <v>0</v>
      </c>
      <c r="F27" s="4">
        <f t="shared" si="2"/>
        <v>0</v>
      </c>
      <c r="I27" s="9"/>
      <c r="J27" s="19" t="str">
        <f t="shared" si="3"/>
        <v/>
      </c>
      <c r="K27" s="10"/>
      <c r="L27" s="11"/>
      <c r="N27" s="9"/>
      <c r="O27" s="19" t="str">
        <f t="shared" si="4"/>
        <v/>
      </c>
      <c r="P27" s="10"/>
      <c r="Q27" s="11"/>
    </row>
    <row r="28" spans="2:17" ht="15.75" customHeight="1" x14ac:dyDescent="0.2">
      <c r="B28" s="17" t="s">
        <v>58</v>
      </c>
      <c r="C28" s="17" t="s">
        <v>59</v>
      </c>
      <c r="D28" s="19">
        <f t="shared" si="0"/>
        <v>0</v>
      </c>
      <c r="E28" s="19">
        <f t="shared" si="1"/>
        <v>0</v>
      </c>
      <c r="F28" s="4">
        <f t="shared" si="2"/>
        <v>0</v>
      </c>
      <c r="I28" s="6"/>
      <c r="J28" s="19" t="str">
        <f t="shared" si="3"/>
        <v/>
      </c>
      <c r="K28" s="7"/>
      <c r="L28" s="14"/>
      <c r="N28" s="6"/>
      <c r="O28" s="19" t="str">
        <f t="shared" si="4"/>
        <v/>
      </c>
      <c r="P28" s="7"/>
      <c r="Q28" s="14"/>
    </row>
    <row r="29" spans="2:17" ht="15.75" customHeight="1" x14ac:dyDescent="0.2">
      <c r="B29" s="17" t="s">
        <v>60</v>
      </c>
      <c r="C29" s="17" t="s">
        <v>61</v>
      </c>
      <c r="D29" s="19">
        <f t="shared" si="0"/>
        <v>0</v>
      </c>
      <c r="E29" s="19">
        <f t="shared" si="1"/>
        <v>0</v>
      </c>
      <c r="F29" s="4">
        <f t="shared" si="2"/>
        <v>0</v>
      </c>
      <c r="I29" s="9"/>
      <c r="J29" s="19" t="str">
        <f t="shared" si="3"/>
        <v/>
      </c>
      <c r="K29" s="10"/>
      <c r="L29" s="11"/>
      <c r="N29" s="9"/>
      <c r="O29" s="19" t="str">
        <f t="shared" si="4"/>
        <v/>
      </c>
      <c r="P29" s="10"/>
      <c r="Q29" s="11"/>
    </row>
    <row r="30" spans="2:17" ht="15.75" customHeight="1" x14ac:dyDescent="0.2">
      <c r="B30" s="17" t="s">
        <v>62</v>
      </c>
      <c r="C30" s="17" t="s">
        <v>59</v>
      </c>
      <c r="D30" s="19">
        <f t="shared" si="0"/>
        <v>0</v>
      </c>
      <c r="E30" s="19">
        <f t="shared" si="1"/>
        <v>0</v>
      </c>
      <c r="F30" s="4">
        <f t="shared" si="2"/>
        <v>0</v>
      </c>
      <c r="I30" s="6"/>
      <c r="J30" s="19" t="str">
        <f t="shared" si="3"/>
        <v/>
      </c>
      <c r="K30" s="7"/>
      <c r="L30" s="14"/>
      <c r="N30" s="6"/>
      <c r="O30" s="19" t="str">
        <f t="shared" si="4"/>
        <v/>
      </c>
      <c r="P30" s="7"/>
      <c r="Q30" s="14"/>
    </row>
    <row r="31" spans="2:17" ht="15.75" customHeight="1" x14ac:dyDescent="0.2">
      <c r="B31" s="17" t="s">
        <v>63</v>
      </c>
      <c r="C31" s="17" t="s">
        <v>64</v>
      </c>
      <c r="D31" s="19">
        <f t="shared" si="0"/>
        <v>0</v>
      </c>
      <c r="E31" s="19">
        <f t="shared" si="1"/>
        <v>0</v>
      </c>
      <c r="F31" s="4">
        <f t="shared" si="2"/>
        <v>0</v>
      </c>
      <c r="I31" s="9"/>
      <c r="J31" s="19" t="str">
        <f t="shared" si="3"/>
        <v/>
      </c>
      <c r="K31" s="10"/>
      <c r="L31" s="11"/>
      <c r="N31" s="9"/>
      <c r="O31" s="19" t="str">
        <f t="shared" si="4"/>
        <v/>
      </c>
      <c r="P31" s="10"/>
      <c r="Q31" s="11"/>
    </row>
    <row r="32" spans="2:17" ht="15.75" customHeight="1" x14ac:dyDescent="0.2">
      <c r="B32" s="17" t="s">
        <v>65</v>
      </c>
      <c r="C32" s="17" t="s">
        <v>66</v>
      </c>
      <c r="D32" s="19">
        <f t="shared" si="0"/>
        <v>0</v>
      </c>
      <c r="E32" s="19">
        <f t="shared" si="1"/>
        <v>0</v>
      </c>
      <c r="F32" s="4">
        <f t="shared" si="2"/>
        <v>0</v>
      </c>
      <c r="I32" s="6"/>
      <c r="J32" s="19" t="str">
        <f t="shared" si="3"/>
        <v/>
      </c>
      <c r="K32" s="7"/>
      <c r="L32" s="14"/>
      <c r="N32" s="6"/>
      <c r="O32" s="19" t="str">
        <f t="shared" si="4"/>
        <v/>
      </c>
      <c r="P32" s="7"/>
      <c r="Q32" s="14"/>
    </row>
    <row r="33" spans="2:17" ht="15.75" customHeight="1" x14ac:dyDescent="0.2">
      <c r="B33" s="17" t="s">
        <v>67</v>
      </c>
      <c r="C33" s="17" t="s">
        <v>68</v>
      </c>
      <c r="D33" s="19">
        <f t="shared" si="0"/>
        <v>0</v>
      </c>
      <c r="E33" s="19">
        <f t="shared" si="1"/>
        <v>0</v>
      </c>
      <c r="F33" s="4">
        <f t="shared" si="2"/>
        <v>0</v>
      </c>
      <c r="I33" s="9"/>
      <c r="J33" s="19" t="str">
        <f t="shared" si="3"/>
        <v/>
      </c>
      <c r="K33" s="10"/>
      <c r="L33" s="11"/>
      <c r="N33" s="9"/>
      <c r="O33" s="19" t="str">
        <f t="shared" si="4"/>
        <v/>
      </c>
      <c r="P33" s="10"/>
      <c r="Q33" s="11"/>
    </row>
    <row r="34" spans="2:17" ht="15.75" customHeight="1" x14ac:dyDescent="0.2">
      <c r="B34" s="17" t="s">
        <v>69</v>
      </c>
      <c r="C34" s="17" t="s">
        <v>70</v>
      </c>
      <c r="D34" s="19">
        <f t="shared" si="0"/>
        <v>0</v>
      </c>
      <c r="E34" s="19">
        <f t="shared" si="1"/>
        <v>0</v>
      </c>
      <c r="F34" s="4">
        <f t="shared" si="2"/>
        <v>0</v>
      </c>
      <c r="I34" s="6"/>
      <c r="J34" s="19" t="str">
        <f t="shared" si="3"/>
        <v/>
      </c>
      <c r="K34" s="7"/>
      <c r="L34" s="14"/>
      <c r="N34" s="6"/>
      <c r="O34" s="19" t="str">
        <f t="shared" si="4"/>
        <v/>
      </c>
      <c r="P34" s="7"/>
      <c r="Q34" s="14"/>
    </row>
    <row r="35" spans="2:17" ht="15.75" customHeight="1" x14ac:dyDescent="0.2">
      <c r="B35" s="17" t="s">
        <v>71</v>
      </c>
      <c r="C35" s="17" t="s">
        <v>72</v>
      </c>
      <c r="D35" s="19">
        <f t="shared" si="0"/>
        <v>0</v>
      </c>
      <c r="E35" s="19">
        <f t="shared" si="1"/>
        <v>0</v>
      </c>
      <c r="F35" s="4">
        <f t="shared" si="2"/>
        <v>0</v>
      </c>
      <c r="I35" s="9"/>
      <c r="J35" s="19" t="str">
        <f t="shared" si="3"/>
        <v/>
      </c>
      <c r="K35" s="10"/>
      <c r="L35" s="11"/>
      <c r="N35" s="9"/>
      <c r="O35" s="19" t="str">
        <f t="shared" si="4"/>
        <v/>
      </c>
      <c r="P35" s="10"/>
      <c r="Q35" s="11"/>
    </row>
    <row r="36" spans="2:17" ht="15.75" customHeight="1" x14ac:dyDescent="0.2">
      <c r="B36" s="17" t="s">
        <v>73</v>
      </c>
      <c r="C36" s="17" t="s">
        <v>74</v>
      </c>
      <c r="D36" s="19">
        <f t="shared" si="0"/>
        <v>0</v>
      </c>
      <c r="E36" s="19">
        <f t="shared" si="1"/>
        <v>0</v>
      </c>
      <c r="F36" s="4">
        <f t="shared" si="2"/>
        <v>0</v>
      </c>
      <c r="I36" s="6"/>
      <c r="J36" s="19" t="str">
        <f t="shared" si="3"/>
        <v/>
      </c>
      <c r="K36" s="7"/>
      <c r="L36" s="14"/>
      <c r="N36" s="6"/>
      <c r="O36" s="19" t="str">
        <f t="shared" si="4"/>
        <v/>
      </c>
      <c r="P36" s="7"/>
      <c r="Q36" s="14"/>
    </row>
    <row r="37" spans="2:17" ht="15.75" customHeight="1" x14ac:dyDescent="0.2">
      <c r="B37" s="17" t="s">
        <v>75</v>
      </c>
      <c r="C37" s="17" t="s">
        <v>76</v>
      </c>
      <c r="D37" s="19">
        <f t="shared" si="0"/>
        <v>0</v>
      </c>
      <c r="E37" s="19">
        <f t="shared" si="1"/>
        <v>0</v>
      </c>
      <c r="F37" s="4">
        <f t="shared" si="2"/>
        <v>0</v>
      </c>
      <c r="I37" s="9"/>
      <c r="J37" s="19" t="str">
        <f t="shared" si="3"/>
        <v/>
      </c>
      <c r="K37" s="10"/>
      <c r="L37" s="11"/>
      <c r="N37" s="9"/>
      <c r="O37" s="19" t="str">
        <f t="shared" si="4"/>
        <v/>
      </c>
      <c r="P37" s="10"/>
      <c r="Q37" s="11"/>
    </row>
    <row r="38" spans="2:17" ht="15.75" customHeight="1" x14ac:dyDescent="0.2">
      <c r="B38" s="17" t="s">
        <v>77</v>
      </c>
      <c r="C38" s="17" t="s">
        <v>78</v>
      </c>
      <c r="D38" s="19">
        <f t="shared" si="0"/>
        <v>0</v>
      </c>
      <c r="E38" s="19">
        <f t="shared" si="1"/>
        <v>0</v>
      </c>
      <c r="F38" s="4">
        <f t="shared" si="2"/>
        <v>0</v>
      </c>
      <c r="I38" s="6"/>
      <c r="J38" s="19" t="str">
        <f t="shared" si="3"/>
        <v/>
      </c>
      <c r="K38" s="7"/>
      <c r="L38" s="14"/>
      <c r="N38" s="6"/>
      <c r="O38" s="19" t="str">
        <f t="shared" si="4"/>
        <v/>
      </c>
      <c r="P38" s="7"/>
      <c r="Q38" s="14"/>
    </row>
    <row r="39" spans="2:17" ht="15.75" customHeight="1" x14ac:dyDescent="0.2">
      <c r="B39" s="17" t="s">
        <v>79</v>
      </c>
      <c r="C39" s="17" t="s">
        <v>80</v>
      </c>
      <c r="D39" s="19">
        <f t="shared" si="0"/>
        <v>0</v>
      </c>
      <c r="E39" s="19">
        <f t="shared" si="1"/>
        <v>0</v>
      </c>
      <c r="F39" s="4">
        <f t="shared" si="2"/>
        <v>0</v>
      </c>
      <c r="I39" s="9"/>
      <c r="J39" s="19" t="str">
        <f t="shared" si="3"/>
        <v/>
      </c>
      <c r="K39" s="10"/>
      <c r="L39" s="11"/>
      <c r="N39" s="9"/>
      <c r="O39" s="19" t="str">
        <f t="shared" si="4"/>
        <v/>
      </c>
      <c r="P39" s="10"/>
      <c r="Q39" s="11"/>
    </row>
    <row r="40" spans="2:17" ht="15.75" customHeight="1" x14ac:dyDescent="0.2">
      <c r="B40" s="17" t="s">
        <v>81</v>
      </c>
      <c r="C40" s="17" t="s">
        <v>82</v>
      </c>
      <c r="D40" s="19">
        <f t="shared" si="0"/>
        <v>0</v>
      </c>
      <c r="E40" s="19">
        <f t="shared" si="1"/>
        <v>0</v>
      </c>
      <c r="F40" s="4">
        <f t="shared" si="2"/>
        <v>0</v>
      </c>
      <c r="I40" s="6"/>
      <c r="J40" s="19" t="str">
        <f t="shared" si="3"/>
        <v/>
      </c>
      <c r="K40" s="7"/>
      <c r="L40" s="12"/>
      <c r="N40" s="6"/>
      <c r="O40" s="19" t="str">
        <f t="shared" si="4"/>
        <v/>
      </c>
      <c r="P40" s="7"/>
      <c r="Q40" s="14"/>
    </row>
    <row r="41" spans="2:17" ht="15.75" customHeight="1" x14ac:dyDescent="0.2">
      <c r="B41" s="17" t="s">
        <v>83</v>
      </c>
      <c r="C41" s="17" t="s">
        <v>84</v>
      </c>
      <c r="D41" s="19">
        <f t="shared" si="0"/>
        <v>0</v>
      </c>
      <c r="E41" s="19">
        <f t="shared" si="1"/>
        <v>0</v>
      </c>
      <c r="F41" s="4">
        <f t="shared" si="2"/>
        <v>0</v>
      </c>
      <c r="I41" s="9"/>
      <c r="J41" s="19" t="str">
        <f t="shared" si="3"/>
        <v/>
      </c>
      <c r="K41" s="10"/>
      <c r="L41" s="13"/>
      <c r="N41" s="9"/>
      <c r="O41" s="19" t="str">
        <f t="shared" si="4"/>
        <v/>
      </c>
      <c r="P41" s="10"/>
      <c r="Q41" s="11"/>
    </row>
    <row r="42" spans="2:17" ht="15.75" customHeight="1" x14ac:dyDescent="0.2">
      <c r="B42" s="17" t="s">
        <v>85</v>
      </c>
      <c r="C42" s="17" t="s">
        <v>86</v>
      </c>
      <c r="D42" s="19">
        <f t="shared" si="0"/>
        <v>0</v>
      </c>
      <c r="E42" s="19">
        <f t="shared" si="1"/>
        <v>0</v>
      </c>
      <c r="F42" s="4">
        <f t="shared" si="2"/>
        <v>0</v>
      </c>
      <c r="I42" s="6"/>
      <c r="J42" s="19" t="str">
        <f t="shared" si="3"/>
        <v/>
      </c>
      <c r="K42" s="7"/>
      <c r="L42" s="14"/>
      <c r="N42" s="6"/>
      <c r="O42" s="19" t="str">
        <f t="shared" si="4"/>
        <v/>
      </c>
      <c r="P42" s="7"/>
      <c r="Q42" s="14"/>
    </row>
    <row r="43" spans="2:17" ht="15.75" customHeight="1" x14ac:dyDescent="0.2">
      <c r="B43" s="17" t="s">
        <v>87</v>
      </c>
      <c r="C43" s="17" t="s">
        <v>88</v>
      </c>
      <c r="D43" s="19">
        <f t="shared" si="0"/>
        <v>0</v>
      </c>
      <c r="E43" s="19">
        <f t="shared" si="1"/>
        <v>0</v>
      </c>
      <c r="F43" s="4">
        <f t="shared" si="2"/>
        <v>0</v>
      </c>
      <c r="I43" s="9"/>
      <c r="J43" s="19" t="str">
        <f t="shared" si="3"/>
        <v/>
      </c>
      <c r="K43" s="8"/>
      <c r="L43" s="11"/>
      <c r="N43" s="9"/>
      <c r="O43" s="19" t="str">
        <f t="shared" si="4"/>
        <v/>
      </c>
      <c r="P43" s="10"/>
      <c r="Q43" s="11"/>
    </row>
    <row r="44" spans="2:17" ht="15.75" customHeight="1" x14ac:dyDescent="0.2">
      <c r="B44" s="17" t="s">
        <v>89</v>
      </c>
      <c r="C44" s="17" t="s">
        <v>90</v>
      </c>
      <c r="D44" s="19">
        <f t="shared" si="0"/>
        <v>0</v>
      </c>
      <c r="E44" s="19">
        <f t="shared" si="1"/>
        <v>0</v>
      </c>
      <c r="F44" s="4">
        <f t="shared" si="2"/>
        <v>0</v>
      </c>
      <c r="I44" s="6"/>
      <c r="J44" s="19" t="str">
        <f t="shared" si="3"/>
        <v/>
      </c>
      <c r="K44" s="3"/>
      <c r="L44" s="14"/>
      <c r="N44" s="6"/>
      <c r="O44" s="19" t="str">
        <f t="shared" si="4"/>
        <v/>
      </c>
      <c r="P44" s="7"/>
      <c r="Q44" s="14"/>
    </row>
    <row r="45" spans="2:17" ht="15.75" customHeight="1" x14ac:dyDescent="0.2">
      <c r="B45" s="17" t="s">
        <v>91</v>
      </c>
      <c r="C45" s="17" t="s">
        <v>92</v>
      </c>
      <c r="D45" s="19">
        <f t="shared" si="0"/>
        <v>0</v>
      </c>
      <c r="E45" s="19">
        <f t="shared" si="1"/>
        <v>0</v>
      </c>
      <c r="F45" s="4">
        <f t="shared" si="2"/>
        <v>0</v>
      </c>
      <c r="I45" s="9"/>
      <c r="J45" s="19" t="str">
        <f t="shared" si="3"/>
        <v/>
      </c>
      <c r="K45" s="8"/>
      <c r="L45" s="11"/>
      <c r="N45" s="9"/>
      <c r="O45" s="19" t="str">
        <f t="shared" si="4"/>
        <v/>
      </c>
      <c r="P45" s="10"/>
      <c r="Q45" s="11"/>
    </row>
    <row r="46" spans="2:17" ht="15.75" customHeight="1" x14ac:dyDescent="0.2">
      <c r="B46" s="17" t="s">
        <v>93</v>
      </c>
      <c r="C46" s="17" t="s">
        <v>94</v>
      </c>
      <c r="D46" s="19">
        <f t="shared" si="0"/>
        <v>0</v>
      </c>
      <c r="E46" s="19">
        <f t="shared" si="1"/>
        <v>0</v>
      </c>
      <c r="F46" s="4">
        <f t="shared" si="2"/>
        <v>0</v>
      </c>
      <c r="I46" s="6"/>
      <c r="J46" s="19" t="str">
        <f t="shared" si="3"/>
        <v/>
      </c>
      <c r="K46" s="3"/>
      <c r="L46" s="14"/>
      <c r="N46" s="6"/>
      <c r="O46" s="19" t="str">
        <f t="shared" si="4"/>
        <v/>
      </c>
      <c r="P46" s="7"/>
      <c r="Q46" s="14"/>
    </row>
    <row r="47" spans="2:17" ht="15.75" customHeight="1" x14ac:dyDescent="0.2">
      <c r="B47" s="17" t="s">
        <v>95</v>
      </c>
      <c r="C47" s="17" t="s">
        <v>96</v>
      </c>
      <c r="D47" s="19">
        <f t="shared" si="0"/>
        <v>0</v>
      </c>
      <c r="E47" s="19">
        <f t="shared" si="1"/>
        <v>0</v>
      </c>
      <c r="F47" s="4">
        <f t="shared" si="2"/>
        <v>0</v>
      </c>
      <c r="I47" s="9"/>
      <c r="J47" s="19" t="str">
        <f t="shared" si="3"/>
        <v/>
      </c>
      <c r="K47" s="8"/>
      <c r="L47" s="11"/>
      <c r="N47" s="9"/>
      <c r="O47" s="19" t="str">
        <f t="shared" si="4"/>
        <v/>
      </c>
      <c r="P47" s="10"/>
      <c r="Q47" s="11"/>
    </row>
    <row r="48" spans="2:17" ht="15.75" customHeight="1" x14ac:dyDescent="0.2">
      <c r="B48" s="17" t="s">
        <v>97</v>
      </c>
      <c r="C48" s="17" t="s">
        <v>98</v>
      </c>
      <c r="D48" s="19">
        <f t="shared" si="0"/>
        <v>0</v>
      </c>
      <c r="E48" s="19">
        <f t="shared" si="1"/>
        <v>0</v>
      </c>
      <c r="F48" s="4">
        <f t="shared" si="2"/>
        <v>0</v>
      </c>
      <c r="I48" s="6"/>
      <c r="J48" s="19" t="str">
        <f t="shared" si="3"/>
        <v/>
      </c>
      <c r="K48" s="3"/>
      <c r="L48" s="14"/>
      <c r="N48" s="6"/>
      <c r="O48" s="19" t="str">
        <f t="shared" si="4"/>
        <v/>
      </c>
      <c r="P48" s="7"/>
      <c r="Q48" s="14"/>
    </row>
    <row r="49" spans="2:17" ht="15.75" customHeight="1" x14ac:dyDescent="0.2">
      <c r="B49" s="17" t="s">
        <v>99</v>
      </c>
      <c r="C49" s="17" t="s">
        <v>100</v>
      </c>
      <c r="D49" s="19">
        <f t="shared" si="0"/>
        <v>0</v>
      </c>
      <c r="E49" s="19">
        <f t="shared" si="1"/>
        <v>0</v>
      </c>
      <c r="F49" s="4">
        <f t="shared" si="2"/>
        <v>0</v>
      </c>
      <c r="I49" s="9"/>
      <c r="J49" s="19" t="str">
        <f t="shared" si="3"/>
        <v/>
      </c>
      <c r="K49" s="8"/>
      <c r="L49" s="11"/>
      <c r="N49" s="9"/>
      <c r="O49" s="19" t="str">
        <f t="shared" si="4"/>
        <v/>
      </c>
      <c r="P49" s="10"/>
      <c r="Q49" s="11"/>
    </row>
    <row r="50" spans="2:17" ht="12.75" customHeight="1" x14ac:dyDescent="0.2">
      <c r="B50" s="17" t="s">
        <v>101</v>
      </c>
      <c r="C50" s="17" t="s">
        <v>102</v>
      </c>
      <c r="D50" s="19">
        <f t="shared" si="0"/>
        <v>0</v>
      </c>
      <c r="E50" s="19">
        <f t="shared" si="1"/>
        <v>0</v>
      </c>
      <c r="F50" s="4">
        <f t="shared" si="2"/>
        <v>0</v>
      </c>
      <c r="I50" s="6"/>
      <c r="J50" s="19" t="str">
        <f t="shared" si="3"/>
        <v/>
      </c>
      <c r="K50" s="3"/>
      <c r="L50" s="14"/>
      <c r="N50" s="6"/>
      <c r="O50" s="19" t="str">
        <f t="shared" si="4"/>
        <v/>
      </c>
      <c r="P50" s="7"/>
      <c r="Q50" s="14"/>
    </row>
    <row r="51" spans="2:17" ht="12.75" customHeight="1" x14ac:dyDescent="0.2">
      <c r="B51" s="17" t="s">
        <v>103</v>
      </c>
      <c r="C51" s="17" t="s">
        <v>104</v>
      </c>
      <c r="D51" s="19">
        <f t="shared" si="0"/>
        <v>0</v>
      </c>
      <c r="E51" s="19">
        <f t="shared" si="1"/>
        <v>0</v>
      </c>
      <c r="F51" s="4">
        <f t="shared" si="2"/>
        <v>0</v>
      </c>
      <c r="I51" s="9"/>
      <c r="J51" s="19" t="str">
        <f t="shared" si="3"/>
        <v/>
      </c>
      <c r="K51" s="8"/>
      <c r="L51" s="11"/>
      <c r="N51" s="9"/>
      <c r="O51" s="19" t="str">
        <f t="shared" si="4"/>
        <v/>
      </c>
      <c r="P51" s="10"/>
      <c r="Q51" s="11"/>
    </row>
    <row r="52" spans="2:17" ht="12.75" customHeight="1" x14ac:dyDescent="0.2">
      <c r="B52" s="17" t="s">
        <v>105</v>
      </c>
      <c r="C52" s="17" t="s">
        <v>106</v>
      </c>
      <c r="D52" s="19">
        <f t="shared" si="0"/>
        <v>0</v>
      </c>
      <c r="E52" s="19">
        <f t="shared" si="1"/>
        <v>0</v>
      </c>
      <c r="F52" s="4">
        <f t="shared" si="2"/>
        <v>0</v>
      </c>
      <c r="I52" s="6"/>
      <c r="J52" s="19" t="str">
        <f t="shared" si="3"/>
        <v/>
      </c>
      <c r="K52" s="3"/>
      <c r="L52" s="14"/>
      <c r="N52" s="6"/>
      <c r="O52" s="19" t="str">
        <f t="shared" si="4"/>
        <v/>
      </c>
      <c r="P52" s="7"/>
      <c r="Q52" s="14"/>
    </row>
    <row r="53" spans="2:17" ht="12.75" customHeight="1" x14ac:dyDescent="0.2">
      <c r="B53" s="17" t="s">
        <v>107</v>
      </c>
      <c r="C53" s="17" t="s">
        <v>108</v>
      </c>
      <c r="D53" s="19">
        <f t="shared" si="0"/>
        <v>0</v>
      </c>
      <c r="E53" s="19">
        <f t="shared" si="1"/>
        <v>0</v>
      </c>
      <c r="F53" s="4">
        <f t="shared" si="2"/>
        <v>0</v>
      </c>
      <c r="I53" s="9"/>
      <c r="J53" s="19" t="str">
        <f t="shared" si="3"/>
        <v/>
      </c>
      <c r="K53" s="8"/>
      <c r="L53" s="11"/>
      <c r="N53" s="9"/>
      <c r="O53" s="19" t="str">
        <f t="shared" si="4"/>
        <v/>
      </c>
      <c r="P53" s="10"/>
      <c r="Q53" s="11"/>
    </row>
    <row r="54" spans="2:17" ht="12.75" customHeight="1" x14ac:dyDescent="0.2">
      <c r="B54" s="17" t="s">
        <v>109</v>
      </c>
      <c r="C54" s="17" t="s">
        <v>110</v>
      </c>
      <c r="D54" s="19">
        <f t="shared" si="0"/>
        <v>0</v>
      </c>
      <c r="E54" s="19">
        <f t="shared" si="1"/>
        <v>0</v>
      </c>
      <c r="F54" s="4">
        <f t="shared" si="2"/>
        <v>0</v>
      </c>
      <c r="I54" s="6"/>
      <c r="J54" s="19" t="str">
        <f t="shared" si="3"/>
        <v/>
      </c>
      <c r="K54" s="3"/>
      <c r="L54" s="14"/>
      <c r="N54" s="6"/>
      <c r="O54" s="19" t="str">
        <f t="shared" si="4"/>
        <v/>
      </c>
      <c r="P54" s="7"/>
      <c r="Q54" s="14"/>
    </row>
    <row r="55" spans="2:17" ht="12.75" customHeight="1" x14ac:dyDescent="0.2">
      <c r="B55" s="17" t="s">
        <v>111</v>
      </c>
      <c r="C55" s="17" t="s">
        <v>112</v>
      </c>
      <c r="D55" s="19">
        <f t="shared" si="0"/>
        <v>0</v>
      </c>
      <c r="E55" s="19">
        <f t="shared" si="1"/>
        <v>0</v>
      </c>
      <c r="F55" s="4">
        <f t="shared" si="2"/>
        <v>0</v>
      </c>
      <c r="I55" s="9"/>
      <c r="J55" s="19" t="str">
        <f t="shared" si="3"/>
        <v/>
      </c>
      <c r="K55" s="8"/>
      <c r="L55" s="11"/>
      <c r="N55" s="9"/>
      <c r="O55" s="19" t="str">
        <f t="shared" si="4"/>
        <v/>
      </c>
      <c r="P55" s="10"/>
      <c r="Q55" s="11"/>
    </row>
    <row r="56" spans="2:17" ht="12.75" customHeight="1" x14ac:dyDescent="0.2">
      <c r="B56" s="17" t="s">
        <v>113</v>
      </c>
      <c r="C56" s="17" t="s">
        <v>114</v>
      </c>
      <c r="D56" s="19">
        <f t="shared" si="0"/>
        <v>0</v>
      </c>
      <c r="E56" s="19">
        <f t="shared" si="1"/>
        <v>0</v>
      </c>
      <c r="F56" s="4">
        <f t="shared" si="2"/>
        <v>0</v>
      </c>
      <c r="I56" s="6"/>
      <c r="J56" s="19" t="str">
        <f t="shared" si="3"/>
        <v/>
      </c>
      <c r="K56" s="3"/>
      <c r="L56" s="14"/>
      <c r="N56" s="6"/>
      <c r="O56" s="19" t="str">
        <f t="shared" si="4"/>
        <v/>
      </c>
      <c r="P56" s="7"/>
      <c r="Q56" s="14"/>
    </row>
    <row r="57" spans="2:17" ht="12.75" customHeight="1" x14ac:dyDescent="0.2">
      <c r="B57" s="17" t="s">
        <v>115</v>
      </c>
      <c r="C57" s="17" t="s">
        <v>116</v>
      </c>
      <c r="D57" s="19">
        <f t="shared" si="0"/>
        <v>0</v>
      </c>
      <c r="E57" s="19">
        <f t="shared" si="1"/>
        <v>0</v>
      </c>
      <c r="F57" s="4">
        <f t="shared" si="2"/>
        <v>0</v>
      </c>
      <c r="I57" s="9"/>
      <c r="J57" s="19" t="str">
        <f t="shared" si="3"/>
        <v/>
      </c>
      <c r="K57" s="8"/>
      <c r="L57" s="11"/>
      <c r="N57" s="9"/>
      <c r="O57" s="19" t="str">
        <f t="shared" si="4"/>
        <v/>
      </c>
      <c r="P57" s="10"/>
      <c r="Q57" s="11"/>
    </row>
    <row r="58" spans="2:17" ht="12.75" customHeight="1" x14ac:dyDescent="0.2">
      <c r="B58" s="17" t="s">
        <v>117</v>
      </c>
      <c r="C58" s="17" t="s">
        <v>118</v>
      </c>
      <c r="D58" s="19">
        <f t="shared" si="0"/>
        <v>0</v>
      </c>
      <c r="E58" s="19">
        <f t="shared" si="1"/>
        <v>0</v>
      </c>
      <c r="F58" s="4">
        <f t="shared" si="2"/>
        <v>0</v>
      </c>
      <c r="I58" s="6"/>
      <c r="J58" s="19" t="str">
        <f t="shared" si="3"/>
        <v/>
      </c>
      <c r="K58" s="3"/>
      <c r="L58" s="14"/>
      <c r="N58" s="6"/>
      <c r="O58" s="19" t="str">
        <f t="shared" si="4"/>
        <v/>
      </c>
      <c r="P58" s="7"/>
      <c r="Q58" s="14"/>
    </row>
    <row r="59" spans="2:17" ht="12.75" customHeight="1" x14ac:dyDescent="0.2">
      <c r="B59" s="17" t="s">
        <v>119</v>
      </c>
      <c r="C59" s="17" t="s">
        <v>120</v>
      </c>
      <c r="D59" s="19">
        <f t="shared" si="0"/>
        <v>0</v>
      </c>
      <c r="E59" s="19">
        <f t="shared" si="1"/>
        <v>0</v>
      </c>
      <c r="F59" s="4">
        <f t="shared" si="2"/>
        <v>0</v>
      </c>
      <c r="I59" s="9"/>
      <c r="J59" s="19" t="str">
        <f t="shared" si="3"/>
        <v/>
      </c>
      <c r="K59" s="8"/>
      <c r="L59" s="11"/>
      <c r="N59" s="9"/>
      <c r="O59" s="19" t="str">
        <f t="shared" si="4"/>
        <v/>
      </c>
      <c r="P59" s="10"/>
      <c r="Q59" s="11"/>
    </row>
    <row r="60" spans="2:17" ht="12.75" customHeight="1" x14ac:dyDescent="0.2">
      <c r="B60" s="17" t="s">
        <v>121</v>
      </c>
      <c r="C60" s="17" t="s">
        <v>122</v>
      </c>
      <c r="D60" s="19">
        <f t="shared" si="0"/>
        <v>0</v>
      </c>
      <c r="E60" s="19">
        <f t="shared" si="1"/>
        <v>0</v>
      </c>
      <c r="F60" s="4">
        <f t="shared" si="2"/>
        <v>0</v>
      </c>
      <c r="I60" s="6"/>
      <c r="J60" s="19" t="str">
        <f t="shared" si="3"/>
        <v/>
      </c>
      <c r="K60" s="3"/>
      <c r="L60" s="14"/>
      <c r="N60" s="6"/>
      <c r="O60" s="19" t="str">
        <f t="shared" si="4"/>
        <v/>
      </c>
      <c r="P60" s="7"/>
      <c r="Q60" s="14"/>
    </row>
    <row r="61" spans="2:17" ht="25.5" customHeight="1" x14ac:dyDescent="0.2">
      <c r="B61" s="17" t="s">
        <v>123</v>
      </c>
      <c r="C61" s="17" t="s">
        <v>124</v>
      </c>
      <c r="D61" s="19">
        <f t="shared" si="0"/>
        <v>0</v>
      </c>
      <c r="E61" s="19">
        <f t="shared" si="1"/>
        <v>0</v>
      </c>
      <c r="F61" s="4">
        <f t="shared" si="2"/>
        <v>0</v>
      </c>
      <c r="I61" s="9"/>
      <c r="J61" s="19" t="str">
        <f t="shared" si="3"/>
        <v/>
      </c>
      <c r="K61" s="8"/>
      <c r="L61" s="11"/>
      <c r="N61" s="9"/>
      <c r="O61" s="19" t="str">
        <f t="shared" si="4"/>
        <v/>
      </c>
      <c r="P61" s="10"/>
      <c r="Q61" s="11"/>
    </row>
    <row r="62" spans="2:17" ht="12.75" customHeight="1" x14ac:dyDescent="0.2">
      <c r="B62" s="17" t="s">
        <v>125</v>
      </c>
      <c r="C62" s="17" t="s">
        <v>126</v>
      </c>
      <c r="D62" s="19">
        <f t="shared" si="0"/>
        <v>0</v>
      </c>
      <c r="E62" s="19">
        <f t="shared" si="1"/>
        <v>0</v>
      </c>
      <c r="F62" s="4">
        <f t="shared" si="2"/>
        <v>0</v>
      </c>
      <c r="I62" s="6"/>
      <c r="J62" s="19" t="str">
        <f t="shared" si="3"/>
        <v/>
      </c>
      <c r="K62" s="3"/>
      <c r="L62" s="14"/>
      <c r="N62" s="6"/>
      <c r="O62" s="19" t="str">
        <f t="shared" si="4"/>
        <v/>
      </c>
      <c r="P62" s="7"/>
      <c r="Q62" s="14"/>
    </row>
    <row r="63" spans="2:17" ht="12.75" customHeight="1" x14ac:dyDescent="0.2">
      <c r="B63" s="17" t="s">
        <v>127</v>
      </c>
      <c r="C63" s="17" t="s">
        <v>128</v>
      </c>
      <c r="D63" s="19">
        <f t="shared" si="0"/>
        <v>0</v>
      </c>
      <c r="E63" s="19">
        <f t="shared" si="1"/>
        <v>0</v>
      </c>
      <c r="F63" s="4">
        <f t="shared" si="2"/>
        <v>0</v>
      </c>
      <c r="I63" s="9"/>
      <c r="J63" s="19" t="str">
        <f t="shared" si="3"/>
        <v/>
      </c>
      <c r="K63" s="8"/>
      <c r="L63" s="11"/>
      <c r="N63" s="9"/>
      <c r="O63" s="19" t="str">
        <f t="shared" si="4"/>
        <v/>
      </c>
      <c r="P63" s="10"/>
      <c r="Q63" s="11"/>
    </row>
    <row r="64" spans="2:17" ht="12.75" customHeight="1" x14ac:dyDescent="0.2">
      <c r="B64" s="17" t="s">
        <v>129</v>
      </c>
      <c r="C64" s="17" t="s">
        <v>130</v>
      </c>
      <c r="D64" s="19">
        <f t="shared" si="0"/>
        <v>0</v>
      </c>
      <c r="E64" s="19">
        <f t="shared" si="1"/>
        <v>0</v>
      </c>
      <c r="F64" s="4">
        <f t="shared" si="2"/>
        <v>0</v>
      </c>
      <c r="I64" s="6"/>
      <c r="J64" s="19" t="str">
        <f t="shared" si="3"/>
        <v/>
      </c>
      <c r="K64" s="3"/>
      <c r="L64" s="14"/>
      <c r="N64" s="6"/>
      <c r="O64" s="19" t="str">
        <f t="shared" si="4"/>
        <v/>
      </c>
      <c r="P64" s="7"/>
      <c r="Q64" s="14"/>
    </row>
    <row r="65" spans="2:17" ht="12.75" customHeight="1" x14ac:dyDescent="0.2">
      <c r="B65" s="17" t="s">
        <v>131</v>
      </c>
      <c r="C65" s="17" t="s">
        <v>132</v>
      </c>
      <c r="D65" s="19">
        <f t="shared" si="0"/>
        <v>0</v>
      </c>
      <c r="E65" s="19">
        <f t="shared" si="1"/>
        <v>0</v>
      </c>
      <c r="F65" s="4">
        <f t="shared" si="2"/>
        <v>0</v>
      </c>
      <c r="I65" s="9"/>
      <c r="J65" s="19" t="str">
        <f t="shared" si="3"/>
        <v/>
      </c>
      <c r="K65" s="8"/>
      <c r="L65" s="11"/>
      <c r="N65" s="9"/>
      <c r="O65" s="19" t="str">
        <f t="shared" si="4"/>
        <v/>
      </c>
      <c r="P65" s="10"/>
      <c r="Q65" s="11"/>
    </row>
    <row r="66" spans="2:17" ht="12.75" customHeight="1" x14ac:dyDescent="0.2">
      <c r="B66" s="17" t="s">
        <v>133</v>
      </c>
      <c r="C66" s="17" t="s">
        <v>134</v>
      </c>
      <c r="D66" s="19">
        <f t="shared" si="0"/>
        <v>0</v>
      </c>
      <c r="E66" s="19">
        <f t="shared" si="1"/>
        <v>0</v>
      </c>
      <c r="F66" s="4">
        <f t="shared" si="2"/>
        <v>0</v>
      </c>
      <c r="I66" s="6"/>
      <c r="J66" s="19" t="str">
        <f t="shared" si="3"/>
        <v/>
      </c>
      <c r="K66" s="3"/>
      <c r="L66" s="14"/>
      <c r="N66" s="6"/>
      <c r="O66" s="19" t="str">
        <f t="shared" si="4"/>
        <v/>
      </c>
      <c r="P66" s="7"/>
      <c r="Q66" s="14"/>
    </row>
    <row r="67" spans="2:17" ht="12.75" customHeight="1" x14ac:dyDescent="0.2">
      <c r="B67" s="17" t="s">
        <v>135</v>
      </c>
      <c r="C67" s="17" t="s">
        <v>136</v>
      </c>
      <c r="D67" s="19">
        <f t="shared" si="0"/>
        <v>0</v>
      </c>
      <c r="E67" s="19">
        <f t="shared" si="1"/>
        <v>0</v>
      </c>
      <c r="F67" s="4">
        <f t="shared" si="2"/>
        <v>0</v>
      </c>
      <c r="I67" s="9"/>
      <c r="J67" s="19" t="str">
        <f t="shared" si="3"/>
        <v/>
      </c>
      <c r="K67" s="8"/>
      <c r="L67" s="11"/>
      <c r="N67" s="9"/>
      <c r="O67" s="19" t="str">
        <f t="shared" si="4"/>
        <v/>
      </c>
      <c r="P67" s="10"/>
      <c r="Q67" s="11"/>
    </row>
    <row r="68" spans="2:17" ht="12.75" customHeight="1" x14ac:dyDescent="0.2">
      <c r="B68" s="17" t="s">
        <v>137</v>
      </c>
      <c r="C68" s="17" t="s">
        <v>138</v>
      </c>
      <c r="D68" s="19">
        <f t="shared" ref="D68:D131" si="5">SUMIF($I$4:$I$5000, B68, $L$4:$L$5000)</f>
        <v>0</v>
      </c>
      <c r="E68" s="19">
        <f t="shared" ref="E68:E131" si="6">SUMIF($N$4:$N$5000, B68, $Q$4:$Q$5000)</f>
        <v>0</v>
      </c>
      <c r="F68" s="4">
        <f t="shared" ref="F68:F131" si="7">D68-E68</f>
        <v>0</v>
      </c>
      <c r="I68" s="6"/>
      <c r="J68" s="19" t="str">
        <f t="shared" ref="J68:J131" si="8">IF(I68="", "", IFERROR(VLOOKUP(I68&amp;"", $B$4:$C$5000, 2, FALSE), "NO EXISTE"))</f>
        <v/>
      </c>
      <c r="K68" s="3"/>
      <c r="L68" s="14"/>
      <c r="N68" s="6"/>
      <c r="O68" s="19" t="str">
        <f t="shared" ref="O68:O131" si="9">IF(N68="", "", IFERROR(VLOOKUP(N68&amp;"", $B$4:$C$5000, 2, FALSE), "NO EXISTE"))</f>
        <v/>
      </c>
      <c r="P68" s="7"/>
      <c r="Q68" s="14"/>
    </row>
    <row r="69" spans="2:17" ht="12.75" customHeight="1" x14ac:dyDescent="0.2">
      <c r="B69" s="17" t="s">
        <v>139</v>
      </c>
      <c r="C69" s="17" t="s">
        <v>138</v>
      </c>
      <c r="D69" s="19">
        <f t="shared" si="5"/>
        <v>0</v>
      </c>
      <c r="E69" s="19">
        <f t="shared" si="6"/>
        <v>0</v>
      </c>
      <c r="F69" s="4">
        <f t="shared" si="7"/>
        <v>0</v>
      </c>
      <c r="I69" s="9"/>
      <c r="J69" s="19" t="str">
        <f t="shared" si="8"/>
        <v/>
      </c>
      <c r="K69" s="8"/>
      <c r="L69" s="11"/>
      <c r="N69" s="9"/>
      <c r="O69" s="19" t="str">
        <f t="shared" si="9"/>
        <v/>
      </c>
      <c r="P69" s="10"/>
      <c r="Q69" s="11"/>
    </row>
    <row r="70" spans="2:17" ht="12.75" customHeight="1" x14ac:dyDescent="0.2">
      <c r="B70" s="17" t="s">
        <v>140</v>
      </c>
      <c r="C70" s="17" t="s">
        <v>141</v>
      </c>
      <c r="D70" s="19">
        <f t="shared" si="5"/>
        <v>0</v>
      </c>
      <c r="E70" s="19">
        <f t="shared" si="6"/>
        <v>0</v>
      </c>
      <c r="F70" s="4">
        <f t="shared" si="7"/>
        <v>0</v>
      </c>
      <c r="I70" s="6"/>
      <c r="J70" s="19" t="str">
        <f t="shared" si="8"/>
        <v/>
      </c>
      <c r="K70" s="3"/>
      <c r="L70" s="14"/>
      <c r="N70" s="6"/>
      <c r="O70" s="19" t="str">
        <f t="shared" si="9"/>
        <v/>
      </c>
      <c r="P70" s="7"/>
      <c r="Q70" s="14"/>
    </row>
    <row r="71" spans="2:17" ht="12.75" customHeight="1" x14ac:dyDescent="0.2">
      <c r="B71" s="17" t="s">
        <v>142</v>
      </c>
      <c r="C71" s="17" t="s">
        <v>143</v>
      </c>
      <c r="D71" s="19">
        <f t="shared" si="5"/>
        <v>0</v>
      </c>
      <c r="E71" s="19">
        <f t="shared" si="6"/>
        <v>0</v>
      </c>
      <c r="F71" s="4">
        <f t="shared" si="7"/>
        <v>0</v>
      </c>
      <c r="I71" s="9"/>
      <c r="J71" s="19" t="str">
        <f t="shared" si="8"/>
        <v/>
      </c>
      <c r="K71" s="8"/>
      <c r="L71" s="11"/>
      <c r="N71" s="9"/>
      <c r="O71" s="19" t="str">
        <f t="shared" si="9"/>
        <v/>
      </c>
      <c r="P71" s="10"/>
      <c r="Q71" s="11"/>
    </row>
    <row r="72" spans="2:17" ht="12.75" customHeight="1" x14ac:dyDescent="0.2">
      <c r="B72" s="17" t="s">
        <v>144</v>
      </c>
      <c r="C72" s="17" t="s">
        <v>145</v>
      </c>
      <c r="D72" s="19">
        <f t="shared" si="5"/>
        <v>0</v>
      </c>
      <c r="E72" s="19">
        <f t="shared" si="6"/>
        <v>0</v>
      </c>
      <c r="F72" s="4">
        <f t="shared" si="7"/>
        <v>0</v>
      </c>
      <c r="I72" s="6"/>
      <c r="J72" s="19" t="str">
        <f t="shared" si="8"/>
        <v/>
      </c>
      <c r="K72" s="3"/>
      <c r="L72" s="14"/>
      <c r="N72" s="6"/>
      <c r="O72" s="19" t="str">
        <f t="shared" si="9"/>
        <v/>
      </c>
      <c r="P72" s="7"/>
      <c r="Q72" s="14"/>
    </row>
    <row r="73" spans="2:17" ht="12.75" customHeight="1" x14ac:dyDescent="0.2">
      <c r="B73" s="17" t="s">
        <v>146</v>
      </c>
      <c r="C73" s="17" t="s">
        <v>147</v>
      </c>
      <c r="D73" s="19">
        <f t="shared" si="5"/>
        <v>0</v>
      </c>
      <c r="E73" s="19">
        <f t="shared" si="6"/>
        <v>0</v>
      </c>
      <c r="F73" s="4">
        <f t="shared" si="7"/>
        <v>0</v>
      </c>
      <c r="I73" s="9"/>
      <c r="J73" s="19" t="str">
        <f t="shared" si="8"/>
        <v/>
      </c>
      <c r="K73" s="8"/>
      <c r="L73" s="11"/>
      <c r="N73" s="9"/>
      <c r="O73" s="19" t="str">
        <f t="shared" si="9"/>
        <v/>
      </c>
      <c r="P73" s="10"/>
      <c r="Q73" s="11"/>
    </row>
    <row r="74" spans="2:17" ht="12.75" customHeight="1" x14ac:dyDescent="0.2">
      <c r="B74" s="17" t="s">
        <v>148</v>
      </c>
      <c r="C74" s="17" t="s">
        <v>149</v>
      </c>
      <c r="D74" s="19">
        <f t="shared" si="5"/>
        <v>0</v>
      </c>
      <c r="E74" s="19">
        <f t="shared" si="6"/>
        <v>0</v>
      </c>
      <c r="F74" s="4">
        <f t="shared" si="7"/>
        <v>0</v>
      </c>
      <c r="I74" s="6"/>
      <c r="J74" s="19" t="str">
        <f t="shared" si="8"/>
        <v/>
      </c>
      <c r="K74" s="3"/>
      <c r="L74" s="14"/>
      <c r="N74" s="6"/>
      <c r="O74" s="19" t="str">
        <f t="shared" si="9"/>
        <v/>
      </c>
      <c r="P74" s="7"/>
      <c r="Q74" s="14"/>
    </row>
    <row r="75" spans="2:17" ht="12.75" customHeight="1" x14ac:dyDescent="0.2">
      <c r="B75" s="17" t="s">
        <v>150</v>
      </c>
      <c r="C75" s="17" t="s">
        <v>151</v>
      </c>
      <c r="D75" s="19">
        <f t="shared" si="5"/>
        <v>0</v>
      </c>
      <c r="E75" s="19">
        <f t="shared" si="6"/>
        <v>0</v>
      </c>
      <c r="F75" s="4">
        <f t="shared" si="7"/>
        <v>0</v>
      </c>
      <c r="I75" s="9"/>
      <c r="J75" s="19" t="str">
        <f t="shared" si="8"/>
        <v/>
      </c>
      <c r="K75" s="8"/>
      <c r="L75" s="11"/>
      <c r="N75" s="9"/>
      <c r="O75" s="19" t="str">
        <f t="shared" si="9"/>
        <v/>
      </c>
      <c r="P75" s="10"/>
      <c r="Q75" s="11"/>
    </row>
    <row r="76" spans="2:17" ht="12.75" customHeight="1" x14ac:dyDescent="0.2">
      <c r="B76" s="17" t="s">
        <v>152</v>
      </c>
      <c r="C76" s="17" t="s">
        <v>153</v>
      </c>
      <c r="D76" s="19">
        <f t="shared" si="5"/>
        <v>0</v>
      </c>
      <c r="E76" s="19">
        <f t="shared" si="6"/>
        <v>0</v>
      </c>
      <c r="F76" s="4">
        <f t="shared" si="7"/>
        <v>0</v>
      </c>
      <c r="I76" s="6"/>
      <c r="J76" s="19" t="str">
        <f t="shared" si="8"/>
        <v/>
      </c>
      <c r="K76" s="3"/>
      <c r="L76" s="14"/>
      <c r="N76" s="6"/>
      <c r="O76" s="19" t="str">
        <f t="shared" si="9"/>
        <v/>
      </c>
      <c r="P76" s="7"/>
      <c r="Q76" s="14"/>
    </row>
    <row r="77" spans="2:17" ht="12.75" customHeight="1" x14ac:dyDescent="0.2">
      <c r="B77" s="17" t="s">
        <v>154</v>
      </c>
      <c r="C77" s="17" t="s">
        <v>155</v>
      </c>
      <c r="D77" s="19">
        <f t="shared" si="5"/>
        <v>0</v>
      </c>
      <c r="E77" s="19">
        <f t="shared" si="6"/>
        <v>0</v>
      </c>
      <c r="F77" s="4">
        <f t="shared" si="7"/>
        <v>0</v>
      </c>
      <c r="I77" s="9"/>
      <c r="J77" s="19" t="str">
        <f t="shared" si="8"/>
        <v/>
      </c>
      <c r="K77" s="8"/>
      <c r="L77" s="11"/>
      <c r="N77" s="9"/>
      <c r="O77" s="19" t="str">
        <f t="shared" si="9"/>
        <v/>
      </c>
      <c r="P77" s="10"/>
      <c r="Q77" s="11"/>
    </row>
    <row r="78" spans="2:17" ht="12.75" customHeight="1" x14ac:dyDescent="0.2">
      <c r="B78" s="17" t="s">
        <v>156</v>
      </c>
      <c r="C78" s="17" t="s">
        <v>157</v>
      </c>
      <c r="D78" s="19">
        <f t="shared" si="5"/>
        <v>0</v>
      </c>
      <c r="E78" s="19">
        <f t="shared" si="6"/>
        <v>0</v>
      </c>
      <c r="F78" s="4">
        <f t="shared" si="7"/>
        <v>0</v>
      </c>
      <c r="I78" s="6"/>
      <c r="J78" s="19" t="str">
        <f t="shared" si="8"/>
        <v/>
      </c>
      <c r="K78" s="3"/>
      <c r="L78" s="14"/>
      <c r="N78" s="6"/>
      <c r="O78" s="19" t="str">
        <f t="shared" si="9"/>
        <v/>
      </c>
      <c r="P78" s="7"/>
      <c r="Q78" s="14"/>
    </row>
    <row r="79" spans="2:17" ht="12.75" customHeight="1" x14ac:dyDescent="0.2">
      <c r="B79" s="17" t="s">
        <v>158</v>
      </c>
      <c r="C79" s="17" t="s">
        <v>159</v>
      </c>
      <c r="D79" s="19">
        <f t="shared" si="5"/>
        <v>0</v>
      </c>
      <c r="E79" s="19">
        <f t="shared" si="6"/>
        <v>0</v>
      </c>
      <c r="F79" s="4">
        <f t="shared" si="7"/>
        <v>0</v>
      </c>
      <c r="I79" s="9"/>
      <c r="J79" s="19" t="str">
        <f t="shared" si="8"/>
        <v/>
      </c>
      <c r="K79" s="8"/>
      <c r="L79" s="11"/>
      <c r="N79" s="9"/>
      <c r="O79" s="19" t="str">
        <f t="shared" si="9"/>
        <v/>
      </c>
      <c r="P79" s="10"/>
      <c r="Q79" s="11"/>
    </row>
    <row r="80" spans="2:17" ht="12.75" customHeight="1" x14ac:dyDescent="0.2">
      <c r="B80" s="17" t="s">
        <v>160</v>
      </c>
      <c r="C80" s="17" t="s">
        <v>161</v>
      </c>
      <c r="D80" s="19">
        <f t="shared" si="5"/>
        <v>0</v>
      </c>
      <c r="E80" s="19">
        <f t="shared" si="6"/>
        <v>0</v>
      </c>
      <c r="F80" s="4">
        <f t="shared" si="7"/>
        <v>0</v>
      </c>
      <c r="I80" s="6"/>
      <c r="J80" s="19" t="str">
        <f t="shared" si="8"/>
        <v/>
      </c>
      <c r="K80" s="3"/>
      <c r="L80" s="14"/>
      <c r="N80" s="6"/>
      <c r="O80" s="19" t="str">
        <f t="shared" si="9"/>
        <v/>
      </c>
      <c r="P80" s="7"/>
      <c r="Q80" s="14"/>
    </row>
    <row r="81" spans="2:17" ht="12.75" customHeight="1" x14ac:dyDescent="0.2">
      <c r="B81" s="17" t="s">
        <v>162</v>
      </c>
      <c r="C81" s="17" t="s">
        <v>163</v>
      </c>
      <c r="D81" s="19">
        <f t="shared" si="5"/>
        <v>0</v>
      </c>
      <c r="E81" s="19">
        <f t="shared" si="6"/>
        <v>0</v>
      </c>
      <c r="F81" s="4">
        <f t="shared" si="7"/>
        <v>0</v>
      </c>
      <c r="I81" s="9"/>
      <c r="J81" s="19" t="str">
        <f t="shared" si="8"/>
        <v/>
      </c>
      <c r="K81" s="8"/>
      <c r="L81" s="11"/>
      <c r="N81" s="9"/>
      <c r="O81" s="19" t="str">
        <f t="shared" si="9"/>
        <v/>
      </c>
      <c r="P81" s="10"/>
      <c r="Q81" s="11"/>
    </row>
    <row r="82" spans="2:17" ht="12.75" customHeight="1" x14ac:dyDescent="0.2">
      <c r="B82" s="17" t="s">
        <v>164</v>
      </c>
      <c r="C82" s="17" t="s">
        <v>165</v>
      </c>
      <c r="D82" s="19">
        <f t="shared" si="5"/>
        <v>0</v>
      </c>
      <c r="E82" s="19">
        <f t="shared" si="6"/>
        <v>0</v>
      </c>
      <c r="F82" s="4">
        <f t="shared" si="7"/>
        <v>0</v>
      </c>
      <c r="I82" s="6"/>
      <c r="J82" s="19" t="str">
        <f t="shared" si="8"/>
        <v/>
      </c>
      <c r="K82" s="3"/>
      <c r="L82" s="14"/>
      <c r="N82" s="6"/>
      <c r="O82" s="19" t="str">
        <f t="shared" si="9"/>
        <v/>
      </c>
      <c r="P82" s="7"/>
      <c r="Q82" s="12"/>
    </row>
    <row r="83" spans="2:17" ht="12.75" customHeight="1" x14ac:dyDescent="0.2">
      <c r="B83" s="17" t="s">
        <v>166</v>
      </c>
      <c r="C83" s="17" t="s">
        <v>167</v>
      </c>
      <c r="D83" s="19">
        <f t="shared" si="5"/>
        <v>0</v>
      </c>
      <c r="E83" s="19">
        <f t="shared" si="6"/>
        <v>0</v>
      </c>
      <c r="F83" s="4">
        <f t="shared" si="7"/>
        <v>0</v>
      </c>
      <c r="I83" s="9"/>
      <c r="J83" s="19" t="str">
        <f t="shared" si="8"/>
        <v/>
      </c>
      <c r="K83" s="8"/>
      <c r="L83" s="11"/>
      <c r="N83" s="9"/>
      <c r="O83" s="19" t="str">
        <f t="shared" si="9"/>
        <v/>
      </c>
      <c r="P83" s="10"/>
      <c r="Q83" s="11"/>
    </row>
    <row r="84" spans="2:17" ht="12.75" customHeight="1" x14ac:dyDescent="0.2">
      <c r="B84" s="17" t="s">
        <v>168</v>
      </c>
      <c r="C84" s="17" t="s">
        <v>169</v>
      </c>
      <c r="D84" s="19">
        <f t="shared" si="5"/>
        <v>0</v>
      </c>
      <c r="E84" s="19">
        <f t="shared" si="6"/>
        <v>0</v>
      </c>
      <c r="F84" s="4">
        <f t="shared" si="7"/>
        <v>0</v>
      </c>
      <c r="I84" s="6"/>
      <c r="J84" s="19" t="str">
        <f t="shared" si="8"/>
        <v/>
      </c>
      <c r="K84" s="3"/>
      <c r="L84" s="14"/>
      <c r="N84" s="6"/>
      <c r="O84" s="19" t="str">
        <f t="shared" si="9"/>
        <v/>
      </c>
      <c r="P84" s="7"/>
      <c r="Q84" s="12"/>
    </row>
    <row r="85" spans="2:17" ht="12.75" customHeight="1" x14ac:dyDescent="0.2">
      <c r="B85" s="17" t="s">
        <v>170</v>
      </c>
      <c r="C85" s="17" t="s">
        <v>171</v>
      </c>
      <c r="D85" s="19">
        <f t="shared" si="5"/>
        <v>0</v>
      </c>
      <c r="E85" s="19">
        <f t="shared" si="6"/>
        <v>0</v>
      </c>
      <c r="F85" s="4">
        <f t="shared" si="7"/>
        <v>0</v>
      </c>
      <c r="I85" s="9"/>
      <c r="J85" s="19" t="str">
        <f t="shared" si="8"/>
        <v/>
      </c>
      <c r="K85" s="8"/>
      <c r="L85" s="11"/>
      <c r="N85" s="9"/>
      <c r="O85" s="19" t="str">
        <f t="shared" si="9"/>
        <v/>
      </c>
      <c r="P85" s="8"/>
      <c r="Q85" s="11"/>
    </row>
    <row r="86" spans="2:17" ht="12.75" customHeight="1" x14ac:dyDescent="0.2">
      <c r="B86" s="17" t="s">
        <v>172</v>
      </c>
      <c r="C86" s="17" t="s">
        <v>173</v>
      </c>
      <c r="D86" s="19">
        <f t="shared" si="5"/>
        <v>0</v>
      </c>
      <c r="E86" s="19">
        <f t="shared" si="6"/>
        <v>0</v>
      </c>
      <c r="F86" s="4">
        <f t="shared" si="7"/>
        <v>0</v>
      </c>
      <c r="I86" s="6"/>
      <c r="J86" s="19" t="str">
        <f t="shared" si="8"/>
        <v/>
      </c>
      <c r="K86" s="3"/>
      <c r="L86" s="14"/>
      <c r="N86" s="6"/>
      <c r="O86" s="19" t="str">
        <f t="shared" si="9"/>
        <v/>
      </c>
      <c r="P86" s="3"/>
      <c r="Q86" s="14"/>
    </row>
    <row r="87" spans="2:17" ht="12.75" customHeight="1" x14ac:dyDescent="0.2">
      <c r="B87" s="17" t="s">
        <v>174</v>
      </c>
      <c r="C87" s="17" t="s">
        <v>175</v>
      </c>
      <c r="D87" s="19">
        <f t="shared" si="5"/>
        <v>0</v>
      </c>
      <c r="E87" s="19">
        <f t="shared" si="6"/>
        <v>0</v>
      </c>
      <c r="F87" s="4">
        <f t="shared" si="7"/>
        <v>0</v>
      </c>
      <c r="I87" s="9"/>
      <c r="J87" s="19" t="str">
        <f t="shared" si="8"/>
        <v/>
      </c>
      <c r="K87" s="8"/>
      <c r="L87" s="11"/>
      <c r="N87" s="9"/>
      <c r="O87" s="19" t="str">
        <f t="shared" si="9"/>
        <v/>
      </c>
      <c r="P87" s="8"/>
      <c r="Q87" s="11"/>
    </row>
    <row r="88" spans="2:17" ht="12.75" customHeight="1" x14ac:dyDescent="0.2">
      <c r="B88" s="17" t="s">
        <v>176</v>
      </c>
      <c r="C88" s="17" t="s">
        <v>177</v>
      </c>
      <c r="D88" s="19">
        <f t="shared" si="5"/>
        <v>0</v>
      </c>
      <c r="E88" s="19">
        <f t="shared" si="6"/>
        <v>0</v>
      </c>
      <c r="F88" s="4">
        <f t="shared" si="7"/>
        <v>0</v>
      </c>
      <c r="I88" s="6"/>
      <c r="J88" s="19" t="str">
        <f t="shared" si="8"/>
        <v/>
      </c>
      <c r="K88" s="3"/>
      <c r="L88" s="14"/>
      <c r="N88" s="6"/>
      <c r="O88" s="19" t="str">
        <f t="shared" si="9"/>
        <v/>
      </c>
      <c r="P88" s="3"/>
      <c r="Q88" s="14"/>
    </row>
    <row r="89" spans="2:17" ht="12.75" customHeight="1" x14ac:dyDescent="0.2">
      <c r="B89" s="17" t="s">
        <v>178</v>
      </c>
      <c r="C89" s="17" t="s">
        <v>179</v>
      </c>
      <c r="D89" s="19">
        <f t="shared" si="5"/>
        <v>0</v>
      </c>
      <c r="E89" s="19">
        <f t="shared" si="6"/>
        <v>0</v>
      </c>
      <c r="F89" s="4">
        <f t="shared" si="7"/>
        <v>0</v>
      </c>
      <c r="I89" s="9"/>
      <c r="J89" s="19" t="str">
        <f t="shared" si="8"/>
        <v/>
      </c>
      <c r="K89" s="8"/>
      <c r="L89" s="11"/>
      <c r="N89" s="9"/>
      <c r="O89" s="19" t="str">
        <f t="shared" si="9"/>
        <v/>
      </c>
      <c r="P89" s="8"/>
      <c r="Q89" s="11"/>
    </row>
    <row r="90" spans="2:17" ht="12.75" customHeight="1" x14ac:dyDescent="0.2">
      <c r="B90" s="17" t="s">
        <v>180</v>
      </c>
      <c r="C90" s="17" t="s">
        <v>181</v>
      </c>
      <c r="D90" s="19">
        <f t="shared" si="5"/>
        <v>0</v>
      </c>
      <c r="E90" s="19">
        <f t="shared" si="6"/>
        <v>0</v>
      </c>
      <c r="F90" s="4">
        <f t="shared" si="7"/>
        <v>0</v>
      </c>
      <c r="I90" s="6"/>
      <c r="J90" s="19" t="str">
        <f t="shared" si="8"/>
        <v/>
      </c>
      <c r="K90" s="3"/>
      <c r="L90" s="14"/>
      <c r="N90" s="6"/>
      <c r="O90" s="19" t="str">
        <f t="shared" si="9"/>
        <v/>
      </c>
      <c r="P90" s="3"/>
      <c r="Q90" s="14"/>
    </row>
    <row r="91" spans="2:17" ht="12.75" customHeight="1" x14ac:dyDescent="0.2">
      <c r="B91" s="17" t="s">
        <v>182</v>
      </c>
      <c r="C91" s="17" t="s">
        <v>183</v>
      </c>
      <c r="D91" s="19">
        <f t="shared" si="5"/>
        <v>0</v>
      </c>
      <c r="E91" s="19">
        <f t="shared" si="6"/>
        <v>0</v>
      </c>
      <c r="F91" s="4">
        <f t="shared" si="7"/>
        <v>0</v>
      </c>
      <c r="I91" s="9"/>
      <c r="J91" s="19" t="str">
        <f t="shared" si="8"/>
        <v/>
      </c>
      <c r="K91" s="8"/>
      <c r="L91" s="11"/>
      <c r="N91" s="9"/>
      <c r="O91" s="19" t="str">
        <f t="shared" si="9"/>
        <v/>
      </c>
      <c r="P91" s="8"/>
      <c r="Q91" s="11"/>
    </row>
    <row r="92" spans="2:17" ht="12.75" customHeight="1" x14ac:dyDescent="0.2">
      <c r="B92" s="17" t="s">
        <v>184</v>
      </c>
      <c r="C92" s="17" t="s">
        <v>185</v>
      </c>
      <c r="D92" s="19">
        <f t="shared" si="5"/>
        <v>0</v>
      </c>
      <c r="E92" s="19">
        <f t="shared" si="6"/>
        <v>0</v>
      </c>
      <c r="F92" s="4">
        <f t="shared" si="7"/>
        <v>0</v>
      </c>
      <c r="I92" s="6"/>
      <c r="J92" s="19" t="str">
        <f t="shared" si="8"/>
        <v/>
      </c>
      <c r="K92" s="3"/>
      <c r="L92" s="14"/>
      <c r="N92" s="6"/>
      <c r="O92" s="19" t="str">
        <f t="shared" si="9"/>
        <v/>
      </c>
      <c r="P92" s="3"/>
      <c r="Q92" s="14"/>
    </row>
    <row r="93" spans="2:17" ht="12.75" customHeight="1" x14ac:dyDescent="0.2">
      <c r="B93" s="17" t="s">
        <v>186</v>
      </c>
      <c r="C93" s="17" t="s">
        <v>187</v>
      </c>
      <c r="D93" s="19">
        <f t="shared" si="5"/>
        <v>0</v>
      </c>
      <c r="E93" s="19">
        <f t="shared" si="6"/>
        <v>0</v>
      </c>
      <c r="F93" s="4">
        <f t="shared" si="7"/>
        <v>0</v>
      </c>
      <c r="I93" s="9"/>
      <c r="J93" s="19" t="str">
        <f t="shared" si="8"/>
        <v/>
      </c>
      <c r="K93" s="8"/>
      <c r="L93" s="11"/>
      <c r="N93" s="9"/>
      <c r="O93" s="19" t="str">
        <f t="shared" si="9"/>
        <v/>
      </c>
      <c r="P93" s="8"/>
      <c r="Q93" s="11"/>
    </row>
    <row r="94" spans="2:17" ht="12.75" customHeight="1" x14ac:dyDescent="0.2">
      <c r="B94" s="17" t="s">
        <v>188</v>
      </c>
      <c r="C94" s="17" t="s">
        <v>189</v>
      </c>
      <c r="D94" s="19">
        <f t="shared" si="5"/>
        <v>0</v>
      </c>
      <c r="E94" s="19">
        <f t="shared" si="6"/>
        <v>0</v>
      </c>
      <c r="F94" s="4">
        <f t="shared" si="7"/>
        <v>0</v>
      </c>
      <c r="I94" s="6"/>
      <c r="J94" s="19" t="str">
        <f t="shared" si="8"/>
        <v/>
      </c>
      <c r="K94" s="3"/>
      <c r="L94" s="14"/>
      <c r="N94" s="6"/>
      <c r="O94" s="19" t="str">
        <f t="shared" si="9"/>
        <v/>
      </c>
      <c r="P94" s="3"/>
      <c r="Q94" s="14"/>
    </row>
    <row r="95" spans="2:17" ht="12.75" customHeight="1" x14ac:dyDescent="0.2">
      <c r="B95" s="17" t="s">
        <v>190</v>
      </c>
      <c r="C95" s="17" t="s">
        <v>191</v>
      </c>
      <c r="D95" s="19">
        <f t="shared" si="5"/>
        <v>0</v>
      </c>
      <c r="E95" s="19">
        <f t="shared" si="6"/>
        <v>0</v>
      </c>
      <c r="F95" s="4">
        <f t="shared" si="7"/>
        <v>0</v>
      </c>
      <c r="I95" s="9"/>
      <c r="J95" s="19" t="str">
        <f t="shared" si="8"/>
        <v/>
      </c>
      <c r="K95" s="8"/>
      <c r="L95" s="11"/>
      <c r="N95" s="9"/>
      <c r="O95" s="19" t="str">
        <f t="shared" si="9"/>
        <v/>
      </c>
      <c r="P95" s="8"/>
      <c r="Q95" s="11"/>
    </row>
    <row r="96" spans="2:17" ht="12.75" customHeight="1" x14ac:dyDescent="0.2">
      <c r="B96" s="17" t="s">
        <v>192</v>
      </c>
      <c r="C96" s="17" t="s">
        <v>193</v>
      </c>
      <c r="D96" s="19">
        <f t="shared" si="5"/>
        <v>0</v>
      </c>
      <c r="E96" s="19">
        <f t="shared" si="6"/>
        <v>0</v>
      </c>
      <c r="F96" s="4">
        <f t="shared" si="7"/>
        <v>0</v>
      </c>
      <c r="I96" s="6"/>
      <c r="J96" s="19" t="str">
        <f t="shared" si="8"/>
        <v/>
      </c>
      <c r="K96" s="3"/>
      <c r="L96" s="14"/>
      <c r="N96" s="6"/>
      <c r="O96" s="19" t="str">
        <f t="shared" si="9"/>
        <v/>
      </c>
      <c r="P96" s="3"/>
      <c r="Q96" s="14"/>
    </row>
    <row r="97" spans="2:17" ht="12.75" customHeight="1" x14ac:dyDescent="0.2">
      <c r="B97" s="17" t="s">
        <v>194</v>
      </c>
      <c r="C97" s="17" t="s">
        <v>195</v>
      </c>
      <c r="D97" s="19">
        <f t="shared" si="5"/>
        <v>0</v>
      </c>
      <c r="E97" s="19">
        <f t="shared" si="6"/>
        <v>0</v>
      </c>
      <c r="F97" s="4">
        <f t="shared" si="7"/>
        <v>0</v>
      </c>
      <c r="I97" s="9"/>
      <c r="J97" s="19" t="str">
        <f t="shared" si="8"/>
        <v/>
      </c>
      <c r="K97" s="8"/>
      <c r="L97" s="11"/>
      <c r="N97" s="9"/>
      <c r="O97" s="19" t="str">
        <f t="shared" si="9"/>
        <v/>
      </c>
      <c r="P97" s="8"/>
      <c r="Q97" s="11"/>
    </row>
    <row r="98" spans="2:17" ht="12.75" customHeight="1" x14ac:dyDescent="0.2">
      <c r="B98" s="17" t="s">
        <v>196</v>
      </c>
      <c r="C98" s="17" t="s">
        <v>197</v>
      </c>
      <c r="D98" s="19">
        <f t="shared" si="5"/>
        <v>0</v>
      </c>
      <c r="E98" s="19">
        <f t="shared" si="6"/>
        <v>0</v>
      </c>
      <c r="F98" s="4">
        <f t="shared" si="7"/>
        <v>0</v>
      </c>
      <c r="I98" s="6"/>
      <c r="J98" s="19" t="str">
        <f t="shared" si="8"/>
        <v/>
      </c>
      <c r="K98" s="3"/>
      <c r="L98" s="14"/>
      <c r="N98" s="6"/>
      <c r="O98" s="19" t="str">
        <f t="shared" si="9"/>
        <v/>
      </c>
      <c r="P98" s="3"/>
      <c r="Q98" s="14"/>
    </row>
    <row r="99" spans="2:17" ht="12.75" customHeight="1" x14ac:dyDescent="0.2">
      <c r="B99" s="17" t="s">
        <v>198</v>
      </c>
      <c r="C99" s="17" t="s">
        <v>199</v>
      </c>
      <c r="D99" s="19">
        <f t="shared" si="5"/>
        <v>0</v>
      </c>
      <c r="E99" s="19">
        <f t="shared" si="6"/>
        <v>0</v>
      </c>
      <c r="F99" s="4">
        <f t="shared" si="7"/>
        <v>0</v>
      </c>
      <c r="I99" s="20"/>
      <c r="J99" s="19" t="str">
        <f t="shared" si="8"/>
        <v/>
      </c>
      <c r="K99" s="21"/>
      <c r="L99" s="22"/>
      <c r="N99" s="20"/>
      <c r="O99" s="19" t="str">
        <f t="shared" si="9"/>
        <v/>
      </c>
      <c r="P99" s="21"/>
      <c r="Q99" s="22"/>
    </row>
    <row r="100" spans="2:17" ht="12.75" customHeight="1" x14ac:dyDescent="0.2">
      <c r="B100" s="17" t="s">
        <v>200</v>
      </c>
      <c r="C100" s="17" t="s">
        <v>201</v>
      </c>
      <c r="D100" s="19">
        <f t="shared" si="5"/>
        <v>0</v>
      </c>
      <c r="E100" s="19">
        <f t="shared" si="6"/>
        <v>0</v>
      </c>
      <c r="F100" s="4">
        <f t="shared" si="7"/>
        <v>0</v>
      </c>
      <c r="I100" s="15"/>
      <c r="J100" s="19" t="str">
        <f t="shared" si="8"/>
        <v/>
      </c>
      <c r="K100" s="15"/>
      <c r="L100" s="15"/>
      <c r="N100" s="15"/>
      <c r="O100" s="19" t="str">
        <f t="shared" si="9"/>
        <v/>
      </c>
      <c r="P100" s="15"/>
      <c r="Q100" s="15"/>
    </row>
    <row r="101" spans="2:17" ht="15.75" customHeight="1" x14ac:dyDescent="0.2">
      <c r="B101" s="17" t="s">
        <v>202</v>
      </c>
      <c r="C101" s="17" t="s">
        <v>203</v>
      </c>
      <c r="D101" s="19">
        <f t="shared" si="5"/>
        <v>0</v>
      </c>
      <c r="E101" s="19">
        <f t="shared" si="6"/>
        <v>0</v>
      </c>
      <c r="F101" s="4">
        <f t="shared" si="7"/>
        <v>0</v>
      </c>
      <c r="J101" s="19" t="str">
        <f t="shared" si="8"/>
        <v/>
      </c>
      <c r="O101" s="19" t="str">
        <f t="shared" si="9"/>
        <v/>
      </c>
    </row>
    <row r="102" spans="2:17" ht="15.75" customHeight="1" x14ac:dyDescent="0.2">
      <c r="B102" s="17" t="s">
        <v>204</v>
      </c>
      <c r="C102" s="17" t="s">
        <v>205</v>
      </c>
      <c r="D102" s="19">
        <f t="shared" si="5"/>
        <v>0</v>
      </c>
      <c r="E102" s="19">
        <f t="shared" si="6"/>
        <v>0</v>
      </c>
      <c r="F102" s="4">
        <f t="shared" si="7"/>
        <v>0</v>
      </c>
      <c r="J102" s="19" t="str">
        <f t="shared" si="8"/>
        <v/>
      </c>
      <c r="O102" s="19" t="str">
        <f t="shared" si="9"/>
        <v/>
      </c>
    </row>
    <row r="103" spans="2:17" ht="15.75" customHeight="1" x14ac:dyDescent="0.2">
      <c r="B103" s="17" t="s">
        <v>206</v>
      </c>
      <c r="C103" s="17" t="s">
        <v>207</v>
      </c>
      <c r="D103" s="19">
        <f t="shared" si="5"/>
        <v>0</v>
      </c>
      <c r="E103" s="19">
        <f t="shared" si="6"/>
        <v>0</v>
      </c>
      <c r="F103" s="4">
        <f t="shared" si="7"/>
        <v>0</v>
      </c>
      <c r="J103" s="19" t="str">
        <f t="shared" si="8"/>
        <v/>
      </c>
      <c r="O103" s="19" t="str">
        <f t="shared" si="9"/>
        <v/>
      </c>
    </row>
    <row r="104" spans="2:17" ht="15.75" customHeight="1" x14ac:dyDescent="0.2">
      <c r="B104" s="17" t="s">
        <v>208</v>
      </c>
      <c r="C104" s="17" t="s">
        <v>209</v>
      </c>
      <c r="D104" s="19">
        <f t="shared" si="5"/>
        <v>0</v>
      </c>
      <c r="E104" s="19">
        <f t="shared" si="6"/>
        <v>0</v>
      </c>
      <c r="F104" s="4">
        <f t="shared" si="7"/>
        <v>0</v>
      </c>
      <c r="J104" s="19" t="str">
        <f t="shared" si="8"/>
        <v/>
      </c>
      <c r="O104" s="19" t="str">
        <f t="shared" si="9"/>
        <v/>
      </c>
    </row>
    <row r="105" spans="2:17" ht="15.75" customHeight="1" x14ac:dyDescent="0.2">
      <c r="B105" s="17" t="s">
        <v>210</v>
      </c>
      <c r="C105" s="17" t="s">
        <v>211</v>
      </c>
      <c r="D105" s="19">
        <f t="shared" si="5"/>
        <v>0</v>
      </c>
      <c r="E105" s="19">
        <f t="shared" si="6"/>
        <v>0</v>
      </c>
      <c r="F105" s="4">
        <f t="shared" si="7"/>
        <v>0</v>
      </c>
      <c r="J105" s="19" t="str">
        <f t="shared" si="8"/>
        <v/>
      </c>
      <c r="O105" s="19" t="str">
        <f t="shared" si="9"/>
        <v/>
      </c>
    </row>
    <row r="106" spans="2:17" ht="15.75" customHeight="1" x14ac:dyDescent="0.2">
      <c r="B106" s="17" t="s">
        <v>212</v>
      </c>
      <c r="C106" s="17" t="s">
        <v>213</v>
      </c>
      <c r="D106" s="19">
        <f t="shared" si="5"/>
        <v>0</v>
      </c>
      <c r="E106" s="19">
        <f t="shared" si="6"/>
        <v>0</v>
      </c>
      <c r="F106" s="4">
        <f t="shared" si="7"/>
        <v>0</v>
      </c>
      <c r="J106" s="19" t="str">
        <f t="shared" si="8"/>
        <v/>
      </c>
      <c r="O106" s="19" t="str">
        <f t="shared" si="9"/>
        <v/>
      </c>
    </row>
    <row r="107" spans="2:17" ht="15.75" customHeight="1" x14ac:dyDescent="0.2">
      <c r="B107" s="17" t="s">
        <v>214</v>
      </c>
      <c r="C107" s="17" t="s">
        <v>215</v>
      </c>
      <c r="D107" s="19">
        <f t="shared" si="5"/>
        <v>0</v>
      </c>
      <c r="E107" s="19">
        <f t="shared" si="6"/>
        <v>0</v>
      </c>
      <c r="F107" s="4">
        <f t="shared" si="7"/>
        <v>0</v>
      </c>
      <c r="J107" s="19" t="str">
        <f t="shared" si="8"/>
        <v/>
      </c>
      <c r="O107" s="19" t="str">
        <f t="shared" si="9"/>
        <v/>
      </c>
    </row>
    <row r="108" spans="2:17" ht="15.75" customHeight="1" x14ac:dyDescent="0.2">
      <c r="B108" s="17" t="s">
        <v>216</v>
      </c>
      <c r="C108" s="17" t="s">
        <v>217</v>
      </c>
      <c r="D108" s="19">
        <f t="shared" si="5"/>
        <v>0</v>
      </c>
      <c r="E108" s="19">
        <f t="shared" si="6"/>
        <v>0</v>
      </c>
      <c r="F108" s="4">
        <f t="shared" si="7"/>
        <v>0</v>
      </c>
      <c r="J108" s="19" t="str">
        <f t="shared" si="8"/>
        <v/>
      </c>
      <c r="O108" s="19" t="str">
        <f t="shared" si="9"/>
        <v/>
      </c>
    </row>
    <row r="109" spans="2:17" ht="15.75" customHeight="1" x14ac:dyDescent="0.2">
      <c r="B109" s="17" t="s">
        <v>218</v>
      </c>
      <c r="C109" s="17" t="s">
        <v>219</v>
      </c>
      <c r="D109" s="19">
        <f t="shared" si="5"/>
        <v>0</v>
      </c>
      <c r="E109" s="19">
        <f t="shared" si="6"/>
        <v>0</v>
      </c>
      <c r="F109" s="4">
        <f t="shared" si="7"/>
        <v>0</v>
      </c>
      <c r="J109" s="19" t="str">
        <f t="shared" si="8"/>
        <v/>
      </c>
      <c r="O109" s="19" t="str">
        <f t="shared" si="9"/>
        <v/>
      </c>
    </row>
    <row r="110" spans="2:17" ht="15.75" customHeight="1" x14ac:dyDescent="0.2">
      <c r="B110" s="17" t="s">
        <v>220</v>
      </c>
      <c r="C110" s="17" t="s">
        <v>221</v>
      </c>
      <c r="D110" s="19">
        <f t="shared" si="5"/>
        <v>0</v>
      </c>
      <c r="E110" s="19">
        <f t="shared" si="6"/>
        <v>0</v>
      </c>
      <c r="F110" s="4">
        <f t="shared" si="7"/>
        <v>0</v>
      </c>
      <c r="J110" s="19" t="str">
        <f t="shared" si="8"/>
        <v/>
      </c>
      <c r="O110" s="19" t="str">
        <f t="shared" si="9"/>
        <v/>
      </c>
    </row>
    <row r="111" spans="2:17" ht="15.75" customHeight="1" x14ac:dyDescent="0.2">
      <c r="B111" s="17" t="s">
        <v>222</v>
      </c>
      <c r="C111" s="17" t="s">
        <v>223</v>
      </c>
      <c r="D111" s="19">
        <f t="shared" si="5"/>
        <v>0</v>
      </c>
      <c r="E111" s="19">
        <f t="shared" si="6"/>
        <v>0</v>
      </c>
      <c r="F111" s="4">
        <f t="shared" si="7"/>
        <v>0</v>
      </c>
      <c r="J111" s="19" t="str">
        <f t="shared" si="8"/>
        <v/>
      </c>
      <c r="O111" s="19" t="str">
        <f t="shared" si="9"/>
        <v/>
      </c>
    </row>
    <row r="112" spans="2:17" ht="15.75" customHeight="1" x14ac:dyDescent="0.2">
      <c r="B112" s="17" t="s">
        <v>224</v>
      </c>
      <c r="C112" s="17" t="s">
        <v>225</v>
      </c>
      <c r="D112" s="19">
        <f t="shared" si="5"/>
        <v>0</v>
      </c>
      <c r="E112" s="19">
        <f t="shared" si="6"/>
        <v>0</v>
      </c>
      <c r="F112" s="4">
        <f t="shared" si="7"/>
        <v>0</v>
      </c>
      <c r="J112" s="19" t="str">
        <f t="shared" si="8"/>
        <v/>
      </c>
      <c r="O112" s="19" t="str">
        <f t="shared" si="9"/>
        <v/>
      </c>
    </row>
    <row r="113" spans="2:15" ht="15.75" customHeight="1" x14ac:dyDescent="0.2">
      <c r="B113" s="17" t="s">
        <v>226</v>
      </c>
      <c r="C113" s="17" t="s">
        <v>227</v>
      </c>
      <c r="D113" s="19">
        <f t="shared" si="5"/>
        <v>0</v>
      </c>
      <c r="E113" s="19">
        <f t="shared" si="6"/>
        <v>0</v>
      </c>
      <c r="F113" s="4">
        <f t="shared" si="7"/>
        <v>0</v>
      </c>
      <c r="J113" s="19" t="str">
        <f t="shared" si="8"/>
        <v/>
      </c>
      <c r="O113" s="19" t="str">
        <f t="shared" si="9"/>
        <v/>
      </c>
    </row>
    <row r="114" spans="2:15" ht="15.75" customHeight="1" x14ac:dyDescent="0.2">
      <c r="B114" s="17" t="s">
        <v>228</v>
      </c>
      <c r="C114" s="17" t="s">
        <v>229</v>
      </c>
      <c r="D114" s="19">
        <f t="shared" si="5"/>
        <v>0</v>
      </c>
      <c r="E114" s="19">
        <f t="shared" si="6"/>
        <v>0</v>
      </c>
      <c r="F114" s="4">
        <f t="shared" si="7"/>
        <v>0</v>
      </c>
      <c r="J114" s="19" t="str">
        <f t="shared" si="8"/>
        <v/>
      </c>
      <c r="O114" s="19" t="str">
        <f t="shared" si="9"/>
        <v/>
      </c>
    </row>
    <row r="115" spans="2:15" ht="15.75" customHeight="1" x14ac:dyDescent="0.2">
      <c r="B115" s="17" t="s">
        <v>230</v>
      </c>
      <c r="C115" s="17" t="s">
        <v>231</v>
      </c>
      <c r="D115" s="19">
        <f t="shared" si="5"/>
        <v>0</v>
      </c>
      <c r="E115" s="19">
        <f t="shared" si="6"/>
        <v>0</v>
      </c>
      <c r="F115" s="4">
        <f t="shared" si="7"/>
        <v>0</v>
      </c>
      <c r="J115" s="19" t="str">
        <f t="shared" si="8"/>
        <v/>
      </c>
      <c r="O115" s="19" t="str">
        <f t="shared" si="9"/>
        <v/>
      </c>
    </row>
    <row r="116" spans="2:15" ht="15.75" customHeight="1" x14ac:dyDescent="0.2">
      <c r="B116" s="17" t="s">
        <v>232</v>
      </c>
      <c r="C116" s="17" t="s">
        <v>233</v>
      </c>
      <c r="D116" s="19">
        <f t="shared" si="5"/>
        <v>0</v>
      </c>
      <c r="E116" s="19">
        <f t="shared" si="6"/>
        <v>0</v>
      </c>
      <c r="F116" s="4">
        <f t="shared" si="7"/>
        <v>0</v>
      </c>
      <c r="J116" s="19" t="str">
        <f t="shared" si="8"/>
        <v/>
      </c>
      <c r="O116" s="19" t="str">
        <f t="shared" si="9"/>
        <v/>
      </c>
    </row>
    <row r="117" spans="2:15" ht="15.75" customHeight="1" x14ac:dyDescent="0.2">
      <c r="B117" s="17" t="s">
        <v>234</v>
      </c>
      <c r="C117" s="17" t="s">
        <v>235</v>
      </c>
      <c r="D117" s="19">
        <f t="shared" si="5"/>
        <v>0</v>
      </c>
      <c r="E117" s="19">
        <f t="shared" si="6"/>
        <v>0</v>
      </c>
      <c r="F117" s="4">
        <f t="shared" si="7"/>
        <v>0</v>
      </c>
      <c r="J117" s="19" t="str">
        <f t="shared" si="8"/>
        <v/>
      </c>
      <c r="O117" s="19" t="str">
        <f t="shared" si="9"/>
        <v/>
      </c>
    </row>
    <row r="118" spans="2:15" ht="15.75" customHeight="1" x14ac:dyDescent="0.2">
      <c r="B118" s="17" t="s">
        <v>236</v>
      </c>
      <c r="C118" s="17" t="s">
        <v>237</v>
      </c>
      <c r="D118" s="19">
        <f t="shared" si="5"/>
        <v>0</v>
      </c>
      <c r="E118" s="19">
        <f t="shared" si="6"/>
        <v>0</v>
      </c>
      <c r="F118" s="4">
        <f t="shared" si="7"/>
        <v>0</v>
      </c>
      <c r="J118" s="19" t="str">
        <f t="shared" si="8"/>
        <v/>
      </c>
      <c r="O118" s="19" t="str">
        <f t="shared" si="9"/>
        <v/>
      </c>
    </row>
    <row r="119" spans="2:15" ht="15.75" customHeight="1" x14ac:dyDescent="0.2">
      <c r="B119" s="17" t="s">
        <v>238</v>
      </c>
      <c r="C119" s="17" t="s">
        <v>239</v>
      </c>
      <c r="D119" s="19">
        <f t="shared" si="5"/>
        <v>0</v>
      </c>
      <c r="E119" s="19">
        <f t="shared" si="6"/>
        <v>0</v>
      </c>
      <c r="F119" s="4">
        <f t="shared" si="7"/>
        <v>0</v>
      </c>
      <c r="J119" s="19" t="str">
        <f t="shared" si="8"/>
        <v/>
      </c>
      <c r="O119" s="19" t="str">
        <f t="shared" si="9"/>
        <v/>
      </c>
    </row>
    <row r="120" spans="2:15" ht="15.75" customHeight="1" x14ac:dyDescent="0.2">
      <c r="B120" s="17" t="s">
        <v>240</v>
      </c>
      <c r="C120" s="17" t="s">
        <v>241</v>
      </c>
      <c r="D120" s="19">
        <f t="shared" si="5"/>
        <v>0</v>
      </c>
      <c r="E120" s="19">
        <f t="shared" si="6"/>
        <v>0</v>
      </c>
      <c r="F120" s="4">
        <f t="shared" si="7"/>
        <v>0</v>
      </c>
      <c r="J120" s="19" t="str">
        <f t="shared" si="8"/>
        <v/>
      </c>
      <c r="O120" s="19" t="str">
        <f t="shared" si="9"/>
        <v/>
      </c>
    </row>
    <row r="121" spans="2:15" ht="15.75" customHeight="1" x14ac:dyDescent="0.2">
      <c r="B121" s="17" t="s">
        <v>242</v>
      </c>
      <c r="C121" s="17" t="s">
        <v>243</v>
      </c>
      <c r="D121" s="19">
        <f t="shared" si="5"/>
        <v>0</v>
      </c>
      <c r="E121" s="19">
        <f t="shared" si="6"/>
        <v>0</v>
      </c>
      <c r="F121" s="4">
        <f t="shared" si="7"/>
        <v>0</v>
      </c>
      <c r="J121" s="19" t="str">
        <f t="shared" si="8"/>
        <v/>
      </c>
      <c r="O121" s="19" t="str">
        <f t="shared" si="9"/>
        <v/>
      </c>
    </row>
    <row r="122" spans="2:15" ht="15.75" customHeight="1" x14ac:dyDescent="0.2">
      <c r="B122" s="17" t="s">
        <v>244</v>
      </c>
      <c r="C122" s="17" t="s">
        <v>245</v>
      </c>
      <c r="D122" s="19">
        <f t="shared" si="5"/>
        <v>0</v>
      </c>
      <c r="E122" s="19">
        <f t="shared" si="6"/>
        <v>0</v>
      </c>
      <c r="F122" s="4">
        <f t="shared" si="7"/>
        <v>0</v>
      </c>
      <c r="J122" s="19" t="str">
        <f t="shared" si="8"/>
        <v/>
      </c>
      <c r="O122" s="19" t="str">
        <f t="shared" si="9"/>
        <v/>
      </c>
    </row>
    <row r="123" spans="2:15" ht="15.75" customHeight="1" x14ac:dyDescent="0.2">
      <c r="B123" s="17" t="s">
        <v>246</v>
      </c>
      <c r="C123" s="17" t="s">
        <v>247</v>
      </c>
      <c r="D123" s="19">
        <f t="shared" si="5"/>
        <v>0</v>
      </c>
      <c r="E123" s="19">
        <f t="shared" si="6"/>
        <v>0</v>
      </c>
      <c r="F123" s="4">
        <f t="shared" si="7"/>
        <v>0</v>
      </c>
      <c r="J123" s="19" t="str">
        <f t="shared" si="8"/>
        <v/>
      </c>
      <c r="O123" s="19" t="str">
        <f t="shared" si="9"/>
        <v/>
      </c>
    </row>
    <row r="124" spans="2:15" ht="15.75" customHeight="1" x14ac:dyDescent="0.2">
      <c r="B124" s="17" t="s">
        <v>248</v>
      </c>
      <c r="C124" s="17" t="s">
        <v>249</v>
      </c>
      <c r="D124" s="19">
        <f t="shared" si="5"/>
        <v>0</v>
      </c>
      <c r="E124" s="19">
        <f t="shared" si="6"/>
        <v>0</v>
      </c>
      <c r="F124" s="4">
        <f t="shared" si="7"/>
        <v>0</v>
      </c>
      <c r="J124" s="19" t="str">
        <f t="shared" si="8"/>
        <v/>
      </c>
      <c r="O124" s="19" t="str">
        <f t="shared" si="9"/>
        <v/>
      </c>
    </row>
    <row r="125" spans="2:15" ht="15.75" customHeight="1" x14ac:dyDescent="0.2">
      <c r="B125" s="17" t="s">
        <v>250</v>
      </c>
      <c r="C125" s="17" t="s">
        <v>251</v>
      </c>
      <c r="D125" s="19">
        <f t="shared" si="5"/>
        <v>0</v>
      </c>
      <c r="E125" s="19">
        <f t="shared" si="6"/>
        <v>0</v>
      </c>
      <c r="F125" s="4">
        <f t="shared" si="7"/>
        <v>0</v>
      </c>
      <c r="J125" s="19" t="str">
        <f t="shared" si="8"/>
        <v/>
      </c>
      <c r="O125" s="19" t="str">
        <f t="shared" si="9"/>
        <v/>
      </c>
    </row>
    <row r="126" spans="2:15" ht="15.75" customHeight="1" x14ac:dyDescent="0.2">
      <c r="B126" s="17" t="s">
        <v>252</v>
      </c>
      <c r="C126" s="17" t="s">
        <v>253</v>
      </c>
      <c r="D126" s="19">
        <f t="shared" si="5"/>
        <v>0</v>
      </c>
      <c r="E126" s="19">
        <f t="shared" si="6"/>
        <v>0</v>
      </c>
      <c r="F126" s="4">
        <f t="shared" si="7"/>
        <v>0</v>
      </c>
      <c r="J126" s="19" t="str">
        <f t="shared" si="8"/>
        <v/>
      </c>
      <c r="O126" s="19" t="str">
        <f t="shared" si="9"/>
        <v/>
      </c>
    </row>
    <row r="127" spans="2:15" ht="15.75" customHeight="1" x14ac:dyDescent="0.2">
      <c r="B127" s="17" t="s">
        <v>254</v>
      </c>
      <c r="C127" s="17" t="s">
        <v>255</v>
      </c>
      <c r="D127" s="19">
        <f t="shared" si="5"/>
        <v>0</v>
      </c>
      <c r="E127" s="19">
        <f t="shared" si="6"/>
        <v>0</v>
      </c>
      <c r="F127" s="4">
        <f t="shared" si="7"/>
        <v>0</v>
      </c>
      <c r="J127" s="19" t="str">
        <f t="shared" si="8"/>
        <v/>
      </c>
      <c r="O127" s="19" t="str">
        <f t="shared" si="9"/>
        <v/>
      </c>
    </row>
    <row r="128" spans="2:15" ht="15.75" customHeight="1" x14ac:dyDescent="0.2">
      <c r="B128" s="17" t="s">
        <v>256</v>
      </c>
      <c r="C128" s="17" t="s">
        <v>257</v>
      </c>
      <c r="D128" s="19">
        <f t="shared" si="5"/>
        <v>0</v>
      </c>
      <c r="E128" s="19">
        <f t="shared" si="6"/>
        <v>0</v>
      </c>
      <c r="F128" s="4">
        <f t="shared" si="7"/>
        <v>0</v>
      </c>
      <c r="J128" s="19" t="str">
        <f t="shared" si="8"/>
        <v/>
      </c>
      <c r="O128" s="19" t="str">
        <f t="shared" si="9"/>
        <v/>
      </c>
    </row>
    <row r="129" spans="2:15" ht="15.75" customHeight="1" x14ac:dyDescent="0.2">
      <c r="B129" s="17" t="s">
        <v>258</v>
      </c>
      <c r="C129" s="17" t="s">
        <v>259</v>
      </c>
      <c r="D129" s="19">
        <f t="shared" si="5"/>
        <v>0</v>
      </c>
      <c r="E129" s="19">
        <f t="shared" si="6"/>
        <v>0</v>
      </c>
      <c r="F129" s="4">
        <f t="shared" si="7"/>
        <v>0</v>
      </c>
      <c r="J129" s="19" t="str">
        <f t="shared" si="8"/>
        <v/>
      </c>
      <c r="O129" s="19" t="str">
        <f t="shared" si="9"/>
        <v/>
      </c>
    </row>
    <row r="130" spans="2:15" ht="15.75" customHeight="1" x14ac:dyDescent="0.2">
      <c r="B130" s="17" t="s">
        <v>260</v>
      </c>
      <c r="C130" s="17" t="s">
        <v>261</v>
      </c>
      <c r="D130" s="19">
        <f t="shared" si="5"/>
        <v>0</v>
      </c>
      <c r="E130" s="19">
        <f t="shared" si="6"/>
        <v>0</v>
      </c>
      <c r="F130" s="4">
        <f t="shared" si="7"/>
        <v>0</v>
      </c>
      <c r="J130" s="19" t="str">
        <f t="shared" si="8"/>
        <v/>
      </c>
      <c r="O130" s="19" t="str">
        <f t="shared" si="9"/>
        <v/>
      </c>
    </row>
    <row r="131" spans="2:15" ht="15.75" customHeight="1" x14ac:dyDescent="0.2">
      <c r="B131" s="17" t="s">
        <v>262</v>
      </c>
      <c r="C131" s="17" t="s">
        <v>263</v>
      </c>
      <c r="D131" s="19">
        <f t="shared" si="5"/>
        <v>0</v>
      </c>
      <c r="E131" s="19">
        <f t="shared" si="6"/>
        <v>0</v>
      </c>
      <c r="F131" s="4">
        <f t="shared" si="7"/>
        <v>0</v>
      </c>
      <c r="J131" s="19" t="str">
        <f t="shared" si="8"/>
        <v/>
      </c>
      <c r="O131" s="19" t="str">
        <f t="shared" si="9"/>
        <v/>
      </c>
    </row>
    <row r="132" spans="2:15" ht="15.75" customHeight="1" x14ac:dyDescent="0.2">
      <c r="B132" s="17" t="s">
        <v>264</v>
      </c>
      <c r="C132" s="17" t="s">
        <v>265</v>
      </c>
      <c r="D132" s="19">
        <f t="shared" ref="D132:D195" si="10">SUMIF($I$4:$I$5000, B132, $L$4:$L$5000)</f>
        <v>0</v>
      </c>
      <c r="E132" s="19">
        <f t="shared" ref="E132:E195" si="11">SUMIF($N$4:$N$5000, B132, $Q$4:$Q$5000)</f>
        <v>0</v>
      </c>
      <c r="F132" s="4">
        <f t="shared" ref="F132:F195" si="12">D132-E132</f>
        <v>0</v>
      </c>
      <c r="J132" s="19" t="str">
        <f t="shared" ref="J132:J195" si="13">IF(I132="", "", IFERROR(VLOOKUP(I132&amp;"", $B$4:$C$5000, 2, FALSE), "NO EXISTE"))</f>
        <v/>
      </c>
      <c r="O132" s="19" t="str">
        <f t="shared" ref="O132:O195" si="14">IF(N132="", "", IFERROR(VLOOKUP(N132&amp;"", $B$4:$C$5000, 2, FALSE), "NO EXISTE"))</f>
        <v/>
      </c>
    </row>
    <row r="133" spans="2:15" ht="15.75" customHeight="1" x14ac:dyDescent="0.2">
      <c r="B133" s="17" t="s">
        <v>266</v>
      </c>
      <c r="C133" s="17" t="s">
        <v>267</v>
      </c>
      <c r="D133" s="19">
        <f t="shared" si="10"/>
        <v>0</v>
      </c>
      <c r="E133" s="19">
        <f t="shared" si="11"/>
        <v>0</v>
      </c>
      <c r="F133" s="4">
        <f t="shared" si="12"/>
        <v>0</v>
      </c>
      <c r="J133" s="19" t="str">
        <f t="shared" si="13"/>
        <v/>
      </c>
      <c r="O133" s="19" t="str">
        <f t="shared" si="14"/>
        <v/>
      </c>
    </row>
    <row r="134" spans="2:15" ht="15.75" customHeight="1" x14ac:dyDescent="0.2">
      <c r="B134" s="17" t="s">
        <v>268</v>
      </c>
      <c r="C134" s="17" t="s">
        <v>269</v>
      </c>
      <c r="D134" s="19">
        <f t="shared" si="10"/>
        <v>0</v>
      </c>
      <c r="E134" s="19">
        <f t="shared" si="11"/>
        <v>0</v>
      </c>
      <c r="F134" s="4">
        <f t="shared" si="12"/>
        <v>0</v>
      </c>
      <c r="J134" s="19" t="str">
        <f t="shared" si="13"/>
        <v/>
      </c>
      <c r="O134" s="19" t="str">
        <f t="shared" si="14"/>
        <v/>
      </c>
    </row>
    <row r="135" spans="2:15" ht="15.75" customHeight="1" x14ac:dyDescent="0.2">
      <c r="B135" s="17" t="s">
        <v>270</v>
      </c>
      <c r="C135" s="17" t="s">
        <v>271</v>
      </c>
      <c r="D135" s="19">
        <f t="shared" si="10"/>
        <v>0</v>
      </c>
      <c r="E135" s="19">
        <f t="shared" si="11"/>
        <v>0</v>
      </c>
      <c r="F135" s="4">
        <f t="shared" si="12"/>
        <v>0</v>
      </c>
      <c r="J135" s="19" t="str">
        <f t="shared" si="13"/>
        <v/>
      </c>
      <c r="O135" s="19" t="str">
        <f t="shared" si="14"/>
        <v/>
      </c>
    </row>
    <row r="136" spans="2:15" ht="15.75" customHeight="1" x14ac:dyDescent="0.2">
      <c r="B136" s="17" t="s">
        <v>272</v>
      </c>
      <c r="C136" s="17" t="s">
        <v>273</v>
      </c>
      <c r="D136" s="19">
        <f t="shared" si="10"/>
        <v>0</v>
      </c>
      <c r="E136" s="19">
        <f t="shared" si="11"/>
        <v>0</v>
      </c>
      <c r="F136" s="4">
        <f t="shared" si="12"/>
        <v>0</v>
      </c>
      <c r="J136" s="19" t="str">
        <f t="shared" si="13"/>
        <v/>
      </c>
      <c r="O136" s="19" t="str">
        <f t="shared" si="14"/>
        <v/>
      </c>
    </row>
    <row r="137" spans="2:15" ht="15.75" customHeight="1" x14ac:dyDescent="0.2">
      <c r="B137" s="17" t="s">
        <v>274</v>
      </c>
      <c r="C137" s="17" t="s">
        <v>275</v>
      </c>
      <c r="D137" s="19">
        <f t="shared" si="10"/>
        <v>0</v>
      </c>
      <c r="E137" s="19">
        <f t="shared" si="11"/>
        <v>0</v>
      </c>
      <c r="F137" s="4">
        <f t="shared" si="12"/>
        <v>0</v>
      </c>
      <c r="J137" s="19" t="str">
        <f t="shared" si="13"/>
        <v/>
      </c>
      <c r="O137" s="19" t="str">
        <f t="shared" si="14"/>
        <v/>
      </c>
    </row>
    <row r="138" spans="2:15" ht="15.75" customHeight="1" x14ac:dyDescent="0.2">
      <c r="B138" s="17" t="s">
        <v>276</v>
      </c>
      <c r="C138" s="17" t="s">
        <v>277</v>
      </c>
      <c r="D138" s="19">
        <f t="shared" si="10"/>
        <v>0</v>
      </c>
      <c r="E138" s="19">
        <f t="shared" si="11"/>
        <v>0</v>
      </c>
      <c r="F138" s="4">
        <f t="shared" si="12"/>
        <v>0</v>
      </c>
      <c r="J138" s="19" t="str">
        <f t="shared" si="13"/>
        <v/>
      </c>
      <c r="O138" s="19" t="str">
        <f t="shared" si="14"/>
        <v/>
      </c>
    </row>
    <row r="139" spans="2:15" ht="15.75" customHeight="1" x14ac:dyDescent="0.2">
      <c r="B139" s="17" t="s">
        <v>278</v>
      </c>
      <c r="C139" s="17" t="s">
        <v>279</v>
      </c>
      <c r="D139" s="19">
        <f t="shared" si="10"/>
        <v>0</v>
      </c>
      <c r="E139" s="19">
        <f t="shared" si="11"/>
        <v>0</v>
      </c>
      <c r="F139" s="4">
        <f t="shared" si="12"/>
        <v>0</v>
      </c>
      <c r="J139" s="19" t="str">
        <f t="shared" si="13"/>
        <v/>
      </c>
      <c r="O139" s="19" t="str">
        <f t="shared" si="14"/>
        <v/>
      </c>
    </row>
    <row r="140" spans="2:15" ht="15.75" customHeight="1" x14ac:dyDescent="0.2">
      <c r="B140" s="17" t="s">
        <v>280</v>
      </c>
      <c r="C140" s="17" t="s">
        <v>281</v>
      </c>
      <c r="D140" s="19">
        <f t="shared" si="10"/>
        <v>0</v>
      </c>
      <c r="E140" s="19">
        <f t="shared" si="11"/>
        <v>0</v>
      </c>
      <c r="F140" s="4">
        <f t="shared" si="12"/>
        <v>0</v>
      </c>
      <c r="J140" s="19" t="str">
        <f t="shared" si="13"/>
        <v/>
      </c>
      <c r="O140" s="19" t="str">
        <f t="shared" si="14"/>
        <v/>
      </c>
    </row>
    <row r="141" spans="2:15" ht="15.75" customHeight="1" x14ac:dyDescent="0.2">
      <c r="B141" s="17" t="s">
        <v>282</v>
      </c>
      <c r="C141" s="17" t="s">
        <v>283</v>
      </c>
      <c r="D141" s="19">
        <f t="shared" si="10"/>
        <v>0</v>
      </c>
      <c r="E141" s="19">
        <f t="shared" si="11"/>
        <v>0</v>
      </c>
      <c r="F141" s="4">
        <f t="shared" si="12"/>
        <v>0</v>
      </c>
      <c r="J141" s="19" t="str">
        <f t="shared" si="13"/>
        <v/>
      </c>
      <c r="O141" s="19" t="str">
        <f t="shared" si="14"/>
        <v/>
      </c>
    </row>
    <row r="142" spans="2:15" ht="15.75" customHeight="1" x14ac:dyDescent="0.2">
      <c r="B142" s="17" t="s">
        <v>284</v>
      </c>
      <c r="C142" s="17" t="s">
        <v>285</v>
      </c>
      <c r="D142" s="19">
        <f t="shared" si="10"/>
        <v>0</v>
      </c>
      <c r="E142" s="19">
        <f t="shared" si="11"/>
        <v>0</v>
      </c>
      <c r="F142" s="4">
        <f t="shared" si="12"/>
        <v>0</v>
      </c>
      <c r="J142" s="19" t="str">
        <f t="shared" si="13"/>
        <v/>
      </c>
      <c r="O142" s="19" t="str">
        <f t="shared" si="14"/>
        <v/>
      </c>
    </row>
    <row r="143" spans="2:15" ht="15.75" customHeight="1" x14ac:dyDescent="0.2">
      <c r="B143" s="17" t="s">
        <v>286</v>
      </c>
      <c r="C143" s="17" t="s">
        <v>287</v>
      </c>
      <c r="D143" s="19">
        <f t="shared" si="10"/>
        <v>0</v>
      </c>
      <c r="E143" s="19">
        <f t="shared" si="11"/>
        <v>0</v>
      </c>
      <c r="F143" s="4">
        <f t="shared" si="12"/>
        <v>0</v>
      </c>
      <c r="J143" s="19" t="str">
        <f t="shared" si="13"/>
        <v/>
      </c>
      <c r="O143" s="19" t="str">
        <f t="shared" si="14"/>
        <v/>
      </c>
    </row>
    <row r="144" spans="2:15" ht="15.75" customHeight="1" x14ac:dyDescent="0.2">
      <c r="B144" s="17" t="s">
        <v>288</v>
      </c>
      <c r="C144" s="17" t="s">
        <v>289</v>
      </c>
      <c r="D144" s="19">
        <f t="shared" si="10"/>
        <v>0</v>
      </c>
      <c r="E144" s="19">
        <f t="shared" si="11"/>
        <v>0</v>
      </c>
      <c r="F144" s="4">
        <f t="shared" si="12"/>
        <v>0</v>
      </c>
      <c r="J144" s="19" t="str">
        <f t="shared" si="13"/>
        <v/>
      </c>
      <c r="O144" s="19" t="str">
        <f t="shared" si="14"/>
        <v/>
      </c>
    </row>
    <row r="145" spans="2:15" ht="15.75" customHeight="1" x14ac:dyDescent="0.2">
      <c r="B145" s="17" t="s">
        <v>290</v>
      </c>
      <c r="C145" s="17" t="s">
        <v>291</v>
      </c>
      <c r="D145" s="19">
        <f t="shared" si="10"/>
        <v>0</v>
      </c>
      <c r="E145" s="19">
        <f t="shared" si="11"/>
        <v>0</v>
      </c>
      <c r="F145" s="4">
        <f t="shared" si="12"/>
        <v>0</v>
      </c>
      <c r="J145" s="19" t="str">
        <f t="shared" si="13"/>
        <v/>
      </c>
      <c r="O145" s="19" t="str">
        <f t="shared" si="14"/>
        <v/>
      </c>
    </row>
    <row r="146" spans="2:15" ht="15.75" customHeight="1" x14ac:dyDescent="0.2">
      <c r="B146" s="17" t="s">
        <v>292</v>
      </c>
      <c r="C146" s="17" t="s">
        <v>293</v>
      </c>
      <c r="D146" s="19">
        <f t="shared" si="10"/>
        <v>0</v>
      </c>
      <c r="E146" s="19">
        <f t="shared" si="11"/>
        <v>0</v>
      </c>
      <c r="F146" s="4">
        <f t="shared" si="12"/>
        <v>0</v>
      </c>
      <c r="J146" s="19" t="str">
        <f t="shared" si="13"/>
        <v/>
      </c>
      <c r="O146" s="19" t="str">
        <f t="shared" si="14"/>
        <v/>
      </c>
    </row>
    <row r="147" spans="2:15" ht="15.75" customHeight="1" x14ac:dyDescent="0.2">
      <c r="B147" s="17" t="s">
        <v>294</v>
      </c>
      <c r="C147" s="17" t="s">
        <v>295</v>
      </c>
      <c r="D147" s="19">
        <f t="shared" si="10"/>
        <v>0</v>
      </c>
      <c r="E147" s="19">
        <f t="shared" si="11"/>
        <v>0</v>
      </c>
      <c r="F147" s="4">
        <f t="shared" si="12"/>
        <v>0</v>
      </c>
      <c r="J147" s="19" t="str">
        <f t="shared" si="13"/>
        <v/>
      </c>
      <c r="O147" s="19" t="str">
        <f t="shared" si="14"/>
        <v/>
      </c>
    </row>
    <row r="148" spans="2:15" ht="15.75" customHeight="1" x14ac:dyDescent="0.2">
      <c r="B148" s="17" t="s">
        <v>296</v>
      </c>
      <c r="C148" s="17" t="s">
        <v>297</v>
      </c>
      <c r="D148" s="19">
        <f t="shared" si="10"/>
        <v>0</v>
      </c>
      <c r="E148" s="19">
        <f t="shared" si="11"/>
        <v>0</v>
      </c>
      <c r="F148" s="4">
        <f t="shared" si="12"/>
        <v>0</v>
      </c>
      <c r="J148" s="19" t="str">
        <f t="shared" si="13"/>
        <v/>
      </c>
      <c r="O148" s="19" t="str">
        <f t="shared" si="14"/>
        <v/>
      </c>
    </row>
    <row r="149" spans="2:15" ht="15.75" customHeight="1" x14ac:dyDescent="0.2">
      <c r="B149" s="17" t="s">
        <v>298</v>
      </c>
      <c r="C149" s="17" t="s">
        <v>299</v>
      </c>
      <c r="D149" s="19">
        <f t="shared" si="10"/>
        <v>0</v>
      </c>
      <c r="E149" s="19">
        <f t="shared" si="11"/>
        <v>0</v>
      </c>
      <c r="F149" s="4">
        <f t="shared" si="12"/>
        <v>0</v>
      </c>
      <c r="J149" s="19" t="str">
        <f t="shared" si="13"/>
        <v/>
      </c>
      <c r="O149" s="19" t="str">
        <f t="shared" si="14"/>
        <v/>
      </c>
    </row>
    <row r="150" spans="2:15" ht="15.75" customHeight="1" x14ac:dyDescent="0.2">
      <c r="B150" s="17" t="s">
        <v>300</v>
      </c>
      <c r="C150" s="17" t="s">
        <v>301</v>
      </c>
      <c r="D150" s="19">
        <f t="shared" si="10"/>
        <v>0</v>
      </c>
      <c r="E150" s="19">
        <f t="shared" si="11"/>
        <v>0</v>
      </c>
      <c r="F150" s="4">
        <f t="shared" si="12"/>
        <v>0</v>
      </c>
      <c r="J150" s="19" t="str">
        <f t="shared" si="13"/>
        <v/>
      </c>
      <c r="O150" s="19" t="str">
        <f t="shared" si="14"/>
        <v/>
      </c>
    </row>
    <row r="151" spans="2:15" ht="15.75" customHeight="1" x14ac:dyDescent="0.2">
      <c r="B151" s="17" t="s">
        <v>302</v>
      </c>
      <c r="C151" s="17" t="s">
        <v>303</v>
      </c>
      <c r="D151" s="19">
        <f t="shared" si="10"/>
        <v>0</v>
      </c>
      <c r="E151" s="19">
        <f t="shared" si="11"/>
        <v>0</v>
      </c>
      <c r="F151" s="4">
        <f t="shared" si="12"/>
        <v>0</v>
      </c>
      <c r="J151" s="19" t="str">
        <f t="shared" si="13"/>
        <v/>
      </c>
      <c r="O151" s="19" t="str">
        <f t="shared" si="14"/>
        <v/>
      </c>
    </row>
    <row r="152" spans="2:15" ht="15.75" customHeight="1" x14ac:dyDescent="0.2">
      <c r="B152" s="17" t="s">
        <v>304</v>
      </c>
      <c r="C152" s="17" t="s">
        <v>305</v>
      </c>
      <c r="D152" s="19">
        <f t="shared" si="10"/>
        <v>0</v>
      </c>
      <c r="E152" s="19">
        <f t="shared" si="11"/>
        <v>0</v>
      </c>
      <c r="F152" s="4">
        <f t="shared" si="12"/>
        <v>0</v>
      </c>
      <c r="J152" s="19" t="str">
        <f t="shared" si="13"/>
        <v/>
      </c>
      <c r="O152" s="19" t="str">
        <f t="shared" si="14"/>
        <v/>
      </c>
    </row>
    <row r="153" spans="2:15" ht="15.75" customHeight="1" x14ac:dyDescent="0.2">
      <c r="B153" s="17" t="s">
        <v>306</v>
      </c>
      <c r="C153" s="17" t="s">
        <v>307</v>
      </c>
      <c r="D153" s="19">
        <f t="shared" si="10"/>
        <v>0</v>
      </c>
      <c r="E153" s="19">
        <f t="shared" si="11"/>
        <v>0</v>
      </c>
      <c r="F153" s="4">
        <f t="shared" si="12"/>
        <v>0</v>
      </c>
      <c r="J153" s="19" t="str">
        <f t="shared" si="13"/>
        <v/>
      </c>
      <c r="O153" s="19" t="str">
        <f t="shared" si="14"/>
        <v/>
      </c>
    </row>
    <row r="154" spans="2:15" ht="15.75" customHeight="1" x14ac:dyDescent="0.2">
      <c r="B154" s="17" t="s">
        <v>308</v>
      </c>
      <c r="C154" s="17" t="s">
        <v>309</v>
      </c>
      <c r="D154" s="19">
        <f t="shared" si="10"/>
        <v>0</v>
      </c>
      <c r="E154" s="19">
        <f t="shared" si="11"/>
        <v>0</v>
      </c>
      <c r="F154" s="4">
        <f t="shared" si="12"/>
        <v>0</v>
      </c>
      <c r="J154" s="19" t="str">
        <f t="shared" si="13"/>
        <v/>
      </c>
      <c r="O154" s="19" t="str">
        <f t="shared" si="14"/>
        <v/>
      </c>
    </row>
    <row r="155" spans="2:15" ht="15.75" customHeight="1" x14ac:dyDescent="0.2">
      <c r="B155" s="17" t="s">
        <v>310</v>
      </c>
      <c r="C155" s="17" t="s">
        <v>311</v>
      </c>
      <c r="D155" s="19">
        <f t="shared" si="10"/>
        <v>0</v>
      </c>
      <c r="E155" s="19">
        <f t="shared" si="11"/>
        <v>0</v>
      </c>
      <c r="F155" s="4">
        <f t="shared" si="12"/>
        <v>0</v>
      </c>
      <c r="J155" s="19" t="str">
        <f t="shared" si="13"/>
        <v/>
      </c>
      <c r="O155" s="19" t="str">
        <f t="shared" si="14"/>
        <v/>
      </c>
    </row>
    <row r="156" spans="2:15" ht="15.75" customHeight="1" x14ac:dyDescent="0.2">
      <c r="B156" s="17" t="s">
        <v>312</v>
      </c>
      <c r="C156" s="17" t="s">
        <v>313</v>
      </c>
      <c r="D156" s="19">
        <f t="shared" si="10"/>
        <v>0</v>
      </c>
      <c r="E156" s="19">
        <f t="shared" si="11"/>
        <v>0</v>
      </c>
      <c r="F156" s="4">
        <f t="shared" si="12"/>
        <v>0</v>
      </c>
      <c r="J156" s="19" t="str">
        <f t="shared" si="13"/>
        <v/>
      </c>
      <c r="O156" s="19" t="str">
        <f t="shared" si="14"/>
        <v/>
      </c>
    </row>
    <row r="157" spans="2:15" ht="15.75" customHeight="1" x14ac:dyDescent="0.2">
      <c r="B157" s="17" t="s">
        <v>314</v>
      </c>
      <c r="C157" s="17" t="s">
        <v>315</v>
      </c>
      <c r="D157" s="19">
        <f t="shared" si="10"/>
        <v>0</v>
      </c>
      <c r="E157" s="19">
        <f t="shared" si="11"/>
        <v>0</v>
      </c>
      <c r="F157" s="4">
        <f t="shared" si="12"/>
        <v>0</v>
      </c>
      <c r="J157" s="19" t="str">
        <f t="shared" si="13"/>
        <v/>
      </c>
      <c r="O157" s="19" t="str">
        <f t="shared" si="14"/>
        <v/>
      </c>
    </row>
    <row r="158" spans="2:15" ht="15.75" customHeight="1" x14ac:dyDescent="0.2">
      <c r="B158" s="17" t="s">
        <v>316</v>
      </c>
      <c r="C158" s="17" t="s">
        <v>317</v>
      </c>
      <c r="D158" s="19">
        <f t="shared" si="10"/>
        <v>0</v>
      </c>
      <c r="E158" s="19">
        <f t="shared" si="11"/>
        <v>0</v>
      </c>
      <c r="F158" s="4">
        <f t="shared" si="12"/>
        <v>0</v>
      </c>
      <c r="J158" s="19" t="str">
        <f t="shared" si="13"/>
        <v/>
      </c>
      <c r="O158" s="19" t="str">
        <f t="shared" si="14"/>
        <v/>
      </c>
    </row>
    <row r="159" spans="2:15" ht="15.75" customHeight="1" x14ac:dyDescent="0.2">
      <c r="B159" s="17" t="s">
        <v>318</v>
      </c>
      <c r="C159" s="17" t="s">
        <v>319</v>
      </c>
      <c r="D159" s="19">
        <f t="shared" si="10"/>
        <v>0</v>
      </c>
      <c r="E159" s="19">
        <f t="shared" si="11"/>
        <v>0</v>
      </c>
      <c r="F159" s="4">
        <f t="shared" si="12"/>
        <v>0</v>
      </c>
      <c r="J159" s="19" t="str">
        <f t="shared" si="13"/>
        <v/>
      </c>
      <c r="O159" s="19" t="str">
        <f t="shared" si="14"/>
        <v/>
      </c>
    </row>
    <row r="160" spans="2:15" ht="15.75" customHeight="1" x14ac:dyDescent="0.2">
      <c r="B160" s="17" t="s">
        <v>320</v>
      </c>
      <c r="C160" s="17" t="s">
        <v>321</v>
      </c>
      <c r="D160" s="19">
        <f t="shared" si="10"/>
        <v>0</v>
      </c>
      <c r="E160" s="19">
        <f t="shared" si="11"/>
        <v>0</v>
      </c>
      <c r="F160" s="4">
        <f t="shared" si="12"/>
        <v>0</v>
      </c>
      <c r="J160" s="19" t="str">
        <f t="shared" si="13"/>
        <v/>
      </c>
      <c r="O160" s="19" t="str">
        <f t="shared" si="14"/>
        <v/>
      </c>
    </row>
    <row r="161" spans="2:15" ht="15.75" customHeight="1" x14ac:dyDescent="0.2">
      <c r="B161" s="17" t="s">
        <v>322</v>
      </c>
      <c r="C161" s="17" t="s">
        <v>323</v>
      </c>
      <c r="D161" s="19">
        <f t="shared" si="10"/>
        <v>0</v>
      </c>
      <c r="E161" s="19">
        <f t="shared" si="11"/>
        <v>0</v>
      </c>
      <c r="F161" s="4">
        <f t="shared" si="12"/>
        <v>0</v>
      </c>
      <c r="J161" s="19" t="str">
        <f t="shared" si="13"/>
        <v/>
      </c>
      <c r="O161" s="19" t="str">
        <f t="shared" si="14"/>
        <v/>
      </c>
    </row>
    <row r="162" spans="2:15" ht="15.75" customHeight="1" x14ac:dyDescent="0.2">
      <c r="B162" s="17" t="s">
        <v>324</v>
      </c>
      <c r="C162" s="17" t="s">
        <v>325</v>
      </c>
      <c r="D162" s="19">
        <f t="shared" si="10"/>
        <v>0</v>
      </c>
      <c r="E162" s="19">
        <f t="shared" si="11"/>
        <v>0</v>
      </c>
      <c r="F162" s="4">
        <f t="shared" si="12"/>
        <v>0</v>
      </c>
      <c r="J162" s="19" t="str">
        <f t="shared" si="13"/>
        <v/>
      </c>
      <c r="O162" s="19" t="str">
        <f t="shared" si="14"/>
        <v/>
      </c>
    </row>
    <row r="163" spans="2:15" ht="15.75" customHeight="1" x14ac:dyDescent="0.2">
      <c r="B163" s="17" t="s">
        <v>326</v>
      </c>
      <c r="C163" s="17" t="s">
        <v>327</v>
      </c>
      <c r="D163" s="19">
        <f t="shared" si="10"/>
        <v>0</v>
      </c>
      <c r="E163" s="19">
        <f t="shared" si="11"/>
        <v>0</v>
      </c>
      <c r="F163" s="4">
        <f t="shared" si="12"/>
        <v>0</v>
      </c>
      <c r="J163" s="19" t="str">
        <f t="shared" si="13"/>
        <v/>
      </c>
      <c r="O163" s="19" t="str">
        <f t="shared" si="14"/>
        <v/>
      </c>
    </row>
    <row r="164" spans="2:15" ht="15.75" customHeight="1" x14ac:dyDescent="0.2">
      <c r="B164" s="17" t="s">
        <v>328</v>
      </c>
      <c r="C164" s="17" t="s">
        <v>329</v>
      </c>
      <c r="D164" s="19">
        <f t="shared" si="10"/>
        <v>0</v>
      </c>
      <c r="E164" s="19">
        <f t="shared" si="11"/>
        <v>0</v>
      </c>
      <c r="F164" s="4">
        <f t="shared" si="12"/>
        <v>0</v>
      </c>
      <c r="J164" s="19" t="str">
        <f t="shared" si="13"/>
        <v/>
      </c>
      <c r="O164" s="19" t="str">
        <f t="shared" si="14"/>
        <v/>
      </c>
    </row>
    <row r="165" spans="2:15" ht="15.75" customHeight="1" x14ac:dyDescent="0.2">
      <c r="B165" s="17" t="s">
        <v>330</v>
      </c>
      <c r="C165" s="17" t="s">
        <v>331</v>
      </c>
      <c r="D165" s="19">
        <f t="shared" si="10"/>
        <v>0</v>
      </c>
      <c r="E165" s="19">
        <f t="shared" si="11"/>
        <v>0</v>
      </c>
      <c r="F165" s="4">
        <f t="shared" si="12"/>
        <v>0</v>
      </c>
      <c r="J165" s="19" t="str">
        <f t="shared" si="13"/>
        <v/>
      </c>
      <c r="O165" s="19" t="str">
        <f t="shared" si="14"/>
        <v/>
      </c>
    </row>
    <row r="166" spans="2:15" ht="15.75" customHeight="1" x14ac:dyDescent="0.2">
      <c r="B166" s="17" t="s">
        <v>332</v>
      </c>
      <c r="C166" s="17" t="s">
        <v>333</v>
      </c>
      <c r="D166" s="19">
        <f t="shared" si="10"/>
        <v>0</v>
      </c>
      <c r="E166" s="19">
        <f t="shared" si="11"/>
        <v>0</v>
      </c>
      <c r="F166" s="4">
        <f t="shared" si="12"/>
        <v>0</v>
      </c>
      <c r="J166" s="19" t="str">
        <f t="shared" si="13"/>
        <v/>
      </c>
      <c r="O166" s="19" t="str">
        <f t="shared" si="14"/>
        <v/>
      </c>
    </row>
    <row r="167" spans="2:15" ht="15.75" customHeight="1" x14ac:dyDescent="0.2">
      <c r="B167" s="17" t="s">
        <v>334</v>
      </c>
      <c r="C167" s="17" t="s">
        <v>335</v>
      </c>
      <c r="D167" s="19">
        <f t="shared" si="10"/>
        <v>0</v>
      </c>
      <c r="E167" s="19">
        <f t="shared" si="11"/>
        <v>0</v>
      </c>
      <c r="F167" s="4">
        <f t="shared" si="12"/>
        <v>0</v>
      </c>
      <c r="J167" s="19" t="str">
        <f t="shared" si="13"/>
        <v/>
      </c>
      <c r="O167" s="19" t="str">
        <f t="shared" si="14"/>
        <v/>
      </c>
    </row>
    <row r="168" spans="2:15" ht="15.75" customHeight="1" x14ac:dyDescent="0.2">
      <c r="B168" s="17" t="s">
        <v>336</v>
      </c>
      <c r="C168" s="17" t="s">
        <v>337</v>
      </c>
      <c r="D168" s="19">
        <f t="shared" si="10"/>
        <v>0</v>
      </c>
      <c r="E168" s="19">
        <f t="shared" si="11"/>
        <v>0</v>
      </c>
      <c r="F168" s="4">
        <f t="shared" si="12"/>
        <v>0</v>
      </c>
      <c r="J168" s="19" t="str">
        <f t="shared" si="13"/>
        <v/>
      </c>
      <c r="O168" s="19" t="str">
        <f t="shared" si="14"/>
        <v/>
      </c>
    </row>
    <row r="169" spans="2:15" ht="15.75" customHeight="1" x14ac:dyDescent="0.2">
      <c r="B169" s="17" t="s">
        <v>338</v>
      </c>
      <c r="C169" s="17" t="s">
        <v>339</v>
      </c>
      <c r="D169" s="19">
        <f t="shared" si="10"/>
        <v>0</v>
      </c>
      <c r="E169" s="19">
        <f t="shared" si="11"/>
        <v>0</v>
      </c>
      <c r="F169" s="4">
        <f t="shared" si="12"/>
        <v>0</v>
      </c>
      <c r="J169" s="19" t="str">
        <f t="shared" si="13"/>
        <v/>
      </c>
      <c r="O169" s="19" t="str">
        <f t="shared" si="14"/>
        <v/>
      </c>
    </row>
    <row r="170" spans="2:15" ht="15.75" customHeight="1" x14ac:dyDescent="0.2">
      <c r="B170" s="17" t="s">
        <v>340</v>
      </c>
      <c r="C170" s="17" t="s">
        <v>341</v>
      </c>
      <c r="D170" s="19">
        <f t="shared" si="10"/>
        <v>0</v>
      </c>
      <c r="E170" s="19">
        <f t="shared" si="11"/>
        <v>0</v>
      </c>
      <c r="F170" s="4">
        <f t="shared" si="12"/>
        <v>0</v>
      </c>
      <c r="J170" s="19" t="str">
        <f t="shared" si="13"/>
        <v/>
      </c>
      <c r="O170" s="19" t="str">
        <f t="shared" si="14"/>
        <v/>
      </c>
    </row>
    <row r="171" spans="2:15" ht="15.75" customHeight="1" x14ac:dyDescent="0.2">
      <c r="B171" s="17" t="s">
        <v>342</v>
      </c>
      <c r="C171" s="17" t="s">
        <v>343</v>
      </c>
      <c r="D171" s="19">
        <f t="shared" si="10"/>
        <v>0</v>
      </c>
      <c r="E171" s="19">
        <f t="shared" si="11"/>
        <v>0</v>
      </c>
      <c r="F171" s="4">
        <f t="shared" si="12"/>
        <v>0</v>
      </c>
      <c r="J171" s="19" t="str">
        <f t="shared" si="13"/>
        <v/>
      </c>
      <c r="O171" s="19" t="str">
        <f t="shared" si="14"/>
        <v/>
      </c>
    </row>
    <row r="172" spans="2:15" ht="15.75" customHeight="1" x14ac:dyDescent="0.2">
      <c r="B172" s="17" t="s">
        <v>344</v>
      </c>
      <c r="C172" s="17" t="s">
        <v>345</v>
      </c>
      <c r="D172" s="19">
        <f t="shared" si="10"/>
        <v>0</v>
      </c>
      <c r="E172" s="19">
        <f t="shared" si="11"/>
        <v>0</v>
      </c>
      <c r="F172" s="4">
        <f t="shared" si="12"/>
        <v>0</v>
      </c>
      <c r="J172" s="19" t="str">
        <f t="shared" si="13"/>
        <v/>
      </c>
      <c r="O172" s="19" t="str">
        <f t="shared" si="14"/>
        <v/>
      </c>
    </row>
    <row r="173" spans="2:15" ht="15.75" customHeight="1" x14ac:dyDescent="0.2">
      <c r="B173" s="17" t="s">
        <v>346</v>
      </c>
      <c r="C173" s="17" t="s">
        <v>347</v>
      </c>
      <c r="D173" s="19">
        <f t="shared" si="10"/>
        <v>0</v>
      </c>
      <c r="E173" s="19">
        <f t="shared" si="11"/>
        <v>0</v>
      </c>
      <c r="F173" s="4">
        <f t="shared" si="12"/>
        <v>0</v>
      </c>
      <c r="J173" s="19" t="str">
        <f t="shared" si="13"/>
        <v/>
      </c>
      <c r="O173" s="19" t="str">
        <f t="shared" si="14"/>
        <v/>
      </c>
    </row>
    <row r="174" spans="2:15" ht="15.75" customHeight="1" x14ac:dyDescent="0.2">
      <c r="B174" s="17" t="s">
        <v>348</v>
      </c>
      <c r="C174" s="17" t="s">
        <v>349</v>
      </c>
      <c r="D174" s="19">
        <f t="shared" si="10"/>
        <v>0</v>
      </c>
      <c r="E174" s="19">
        <f t="shared" si="11"/>
        <v>0</v>
      </c>
      <c r="F174" s="4">
        <f t="shared" si="12"/>
        <v>0</v>
      </c>
      <c r="J174" s="19" t="str">
        <f t="shared" si="13"/>
        <v/>
      </c>
      <c r="O174" s="19" t="str">
        <f t="shared" si="14"/>
        <v/>
      </c>
    </row>
    <row r="175" spans="2:15" ht="15.75" customHeight="1" x14ac:dyDescent="0.2">
      <c r="B175" s="17" t="s">
        <v>350</v>
      </c>
      <c r="C175" s="17" t="s">
        <v>351</v>
      </c>
      <c r="D175" s="19">
        <f t="shared" si="10"/>
        <v>0</v>
      </c>
      <c r="E175" s="19">
        <f t="shared" si="11"/>
        <v>0</v>
      </c>
      <c r="F175" s="4">
        <f t="shared" si="12"/>
        <v>0</v>
      </c>
      <c r="J175" s="19" t="str">
        <f t="shared" si="13"/>
        <v/>
      </c>
      <c r="O175" s="19" t="str">
        <f t="shared" si="14"/>
        <v/>
      </c>
    </row>
    <row r="176" spans="2:15" ht="15.75" customHeight="1" x14ac:dyDescent="0.2">
      <c r="B176" s="17" t="s">
        <v>352</v>
      </c>
      <c r="C176" s="17" t="s">
        <v>353</v>
      </c>
      <c r="D176" s="19">
        <f t="shared" si="10"/>
        <v>0</v>
      </c>
      <c r="E176" s="19">
        <f t="shared" si="11"/>
        <v>0</v>
      </c>
      <c r="F176" s="4">
        <f t="shared" si="12"/>
        <v>0</v>
      </c>
      <c r="J176" s="19" t="str">
        <f t="shared" si="13"/>
        <v/>
      </c>
      <c r="O176" s="19" t="str">
        <f t="shared" si="14"/>
        <v/>
      </c>
    </row>
    <row r="177" spans="2:15" ht="15.75" customHeight="1" x14ac:dyDescent="0.2">
      <c r="B177" s="17" t="s">
        <v>354</v>
      </c>
      <c r="C177" s="17" t="s">
        <v>355</v>
      </c>
      <c r="D177" s="19">
        <f t="shared" si="10"/>
        <v>0</v>
      </c>
      <c r="E177" s="19">
        <f t="shared" si="11"/>
        <v>0</v>
      </c>
      <c r="F177" s="4">
        <f t="shared" si="12"/>
        <v>0</v>
      </c>
      <c r="J177" s="19" t="str">
        <f t="shared" si="13"/>
        <v/>
      </c>
      <c r="O177" s="19" t="str">
        <f t="shared" si="14"/>
        <v/>
      </c>
    </row>
    <row r="178" spans="2:15" ht="15.75" customHeight="1" x14ac:dyDescent="0.2">
      <c r="B178" s="17" t="s">
        <v>356</v>
      </c>
      <c r="C178" s="17" t="s">
        <v>317</v>
      </c>
      <c r="D178" s="19">
        <f t="shared" si="10"/>
        <v>0</v>
      </c>
      <c r="E178" s="19">
        <f t="shared" si="11"/>
        <v>0</v>
      </c>
      <c r="F178" s="4">
        <f t="shared" si="12"/>
        <v>0</v>
      </c>
      <c r="J178" s="19" t="str">
        <f t="shared" si="13"/>
        <v/>
      </c>
      <c r="O178" s="19" t="str">
        <f t="shared" si="14"/>
        <v/>
      </c>
    </row>
    <row r="179" spans="2:15" ht="15.75" customHeight="1" x14ac:dyDescent="0.2">
      <c r="B179" s="17" t="s">
        <v>357</v>
      </c>
      <c r="C179" s="17" t="s">
        <v>358</v>
      </c>
      <c r="D179" s="19">
        <f t="shared" si="10"/>
        <v>0</v>
      </c>
      <c r="E179" s="19">
        <f t="shared" si="11"/>
        <v>0</v>
      </c>
      <c r="F179" s="4">
        <f t="shared" si="12"/>
        <v>0</v>
      </c>
      <c r="J179" s="19" t="str">
        <f t="shared" si="13"/>
        <v/>
      </c>
      <c r="O179" s="19" t="str">
        <f t="shared" si="14"/>
        <v/>
      </c>
    </row>
    <row r="180" spans="2:15" ht="15.75" customHeight="1" x14ac:dyDescent="0.2">
      <c r="B180" s="17" t="s">
        <v>359</v>
      </c>
      <c r="C180" s="17" t="s">
        <v>360</v>
      </c>
      <c r="D180" s="19">
        <f t="shared" si="10"/>
        <v>0</v>
      </c>
      <c r="E180" s="19">
        <f t="shared" si="11"/>
        <v>0</v>
      </c>
      <c r="F180" s="4">
        <f t="shared" si="12"/>
        <v>0</v>
      </c>
      <c r="J180" s="19" t="str">
        <f t="shared" si="13"/>
        <v/>
      </c>
      <c r="O180" s="19" t="str">
        <f t="shared" si="14"/>
        <v/>
      </c>
    </row>
    <row r="181" spans="2:15" ht="15.75" customHeight="1" x14ac:dyDescent="0.2">
      <c r="B181" s="17" t="s">
        <v>361</v>
      </c>
      <c r="C181" s="17" t="s">
        <v>362</v>
      </c>
      <c r="D181" s="19">
        <f t="shared" si="10"/>
        <v>0</v>
      </c>
      <c r="E181" s="19">
        <f t="shared" si="11"/>
        <v>0</v>
      </c>
      <c r="F181" s="4">
        <f t="shared" si="12"/>
        <v>0</v>
      </c>
      <c r="J181" s="19" t="str">
        <f t="shared" si="13"/>
        <v/>
      </c>
      <c r="O181" s="19" t="str">
        <f t="shared" si="14"/>
        <v/>
      </c>
    </row>
    <row r="182" spans="2:15" ht="15.75" customHeight="1" x14ac:dyDescent="0.2">
      <c r="B182" s="17" t="s">
        <v>363</v>
      </c>
      <c r="C182" s="17" t="s">
        <v>364</v>
      </c>
      <c r="D182" s="19">
        <f t="shared" si="10"/>
        <v>0</v>
      </c>
      <c r="E182" s="19">
        <f t="shared" si="11"/>
        <v>0</v>
      </c>
      <c r="F182" s="4">
        <f t="shared" si="12"/>
        <v>0</v>
      </c>
      <c r="J182" s="19" t="str">
        <f t="shared" si="13"/>
        <v/>
      </c>
      <c r="O182" s="19" t="str">
        <f t="shared" si="14"/>
        <v/>
      </c>
    </row>
    <row r="183" spans="2:15" ht="15.75" customHeight="1" x14ac:dyDescent="0.2">
      <c r="B183" s="17" t="s">
        <v>365</v>
      </c>
      <c r="C183" s="17" t="s">
        <v>366</v>
      </c>
      <c r="D183" s="19">
        <f t="shared" si="10"/>
        <v>0</v>
      </c>
      <c r="E183" s="19">
        <f t="shared" si="11"/>
        <v>0</v>
      </c>
      <c r="F183" s="4">
        <f t="shared" si="12"/>
        <v>0</v>
      </c>
      <c r="J183" s="19" t="str">
        <f t="shared" si="13"/>
        <v/>
      </c>
      <c r="O183" s="19" t="str">
        <f t="shared" si="14"/>
        <v/>
      </c>
    </row>
    <row r="184" spans="2:15" ht="15.75" customHeight="1" x14ac:dyDescent="0.2">
      <c r="B184" s="17" t="s">
        <v>367</v>
      </c>
      <c r="C184" s="17" t="s">
        <v>368</v>
      </c>
      <c r="D184" s="19">
        <f t="shared" si="10"/>
        <v>0</v>
      </c>
      <c r="E184" s="19">
        <f t="shared" si="11"/>
        <v>0</v>
      </c>
      <c r="F184" s="4">
        <f t="shared" si="12"/>
        <v>0</v>
      </c>
      <c r="J184" s="19" t="str">
        <f t="shared" si="13"/>
        <v/>
      </c>
      <c r="O184" s="19" t="str">
        <f t="shared" si="14"/>
        <v/>
      </c>
    </row>
    <row r="185" spans="2:15" ht="15.75" customHeight="1" x14ac:dyDescent="0.2">
      <c r="B185" s="17" t="s">
        <v>369</v>
      </c>
      <c r="C185" s="17" t="s">
        <v>370</v>
      </c>
      <c r="D185" s="19">
        <f t="shared" si="10"/>
        <v>0</v>
      </c>
      <c r="E185" s="19">
        <f t="shared" si="11"/>
        <v>0</v>
      </c>
      <c r="F185" s="4">
        <f t="shared" si="12"/>
        <v>0</v>
      </c>
      <c r="J185" s="19" t="str">
        <f t="shared" si="13"/>
        <v/>
      </c>
      <c r="O185" s="19" t="str">
        <f t="shared" si="14"/>
        <v/>
      </c>
    </row>
    <row r="186" spans="2:15" ht="15.75" customHeight="1" x14ac:dyDescent="0.2">
      <c r="B186" s="17" t="s">
        <v>371</v>
      </c>
      <c r="C186" s="17" t="s">
        <v>372</v>
      </c>
      <c r="D186" s="19">
        <f t="shared" si="10"/>
        <v>0</v>
      </c>
      <c r="E186" s="19">
        <f t="shared" si="11"/>
        <v>0</v>
      </c>
      <c r="F186" s="4">
        <f t="shared" si="12"/>
        <v>0</v>
      </c>
      <c r="J186" s="19" t="str">
        <f t="shared" si="13"/>
        <v/>
      </c>
      <c r="O186" s="19" t="str">
        <f t="shared" si="14"/>
        <v/>
      </c>
    </row>
    <row r="187" spans="2:15" ht="15.75" customHeight="1" x14ac:dyDescent="0.2">
      <c r="B187" s="17" t="s">
        <v>373</v>
      </c>
      <c r="C187" s="17" t="s">
        <v>374</v>
      </c>
      <c r="D187" s="19">
        <f t="shared" si="10"/>
        <v>0</v>
      </c>
      <c r="E187" s="19">
        <f t="shared" si="11"/>
        <v>0</v>
      </c>
      <c r="F187" s="4">
        <f t="shared" si="12"/>
        <v>0</v>
      </c>
      <c r="J187" s="19" t="str">
        <f t="shared" si="13"/>
        <v/>
      </c>
      <c r="O187" s="19" t="str">
        <f t="shared" si="14"/>
        <v/>
      </c>
    </row>
    <row r="188" spans="2:15" ht="15.75" customHeight="1" x14ac:dyDescent="0.2">
      <c r="B188" s="17" t="s">
        <v>375</v>
      </c>
      <c r="C188" s="17" t="s">
        <v>366</v>
      </c>
      <c r="D188" s="19">
        <f t="shared" si="10"/>
        <v>0</v>
      </c>
      <c r="E188" s="19">
        <f t="shared" si="11"/>
        <v>0</v>
      </c>
      <c r="F188" s="4">
        <f t="shared" si="12"/>
        <v>0</v>
      </c>
      <c r="J188" s="19" t="str">
        <f t="shared" si="13"/>
        <v/>
      </c>
      <c r="O188" s="19" t="str">
        <f t="shared" si="14"/>
        <v/>
      </c>
    </row>
    <row r="189" spans="2:15" ht="15.75" customHeight="1" x14ac:dyDescent="0.2">
      <c r="B189" s="17" t="s">
        <v>376</v>
      </c>
      <c r="C189" s="17" t="s">
        <v>377</v>
      </c>
      <c r="D189" s="19">
        <f t="shared" si="10"/>
        <v>0</v>
      </c>
      <c r="E189" s="19">
        <f t="shared" si="11"/>
        <v>0</v>
      </c>
      <c r="F189" s="4">
        <f t="shared" si="12"/>
        <v>0</v>
      </c>
      <c r="J189" s="19" t="str">
        <f t="shared" si="13"/>
        <v/>
      </c>
      <c r="O189" s="19" t="str">
        <f t="shared" si="14"/>
        <v/>
      </c>
    </row>
    <row r="190" spans="2:15" ht="15.75" customHeight="1" x14ac:dyDescent="0.2">
      <c r="B190" s="17" t="s">
        <v>378</v>
      </c>
      <c r="C190" s="17" t="s">
        <v>379</v>
      </c>
      <c r="D190" s="19">
        <f t="shared" si="10"/>
        <v>0</v>
      </c>
      <c r="E190" s="19">
        <f t="shared" si="11"/>
        <v>0</v>
      </c>
      <c r="F190" s="4">
        <f t="shared" si="12"/>
        <v>0</v>
      </c>
      <c r="J190" s="19" t="str">
        <f t="shared" si="13"/>
        <v/>
      </c>
      <c r="O190" s="19" t="str">
        <f t="shared" si="14"/>
        <v/>
      </c>
    </row>
    <row r="191" spans="2:15" ht="15.75" customHeight="1" x14ac:dyDescent="0.2">
      <c r="B191" s="17" t="s">
        <v>380</v>
      </c>
      <c r="C191" s="17" t="s">
        <v>381</v>
      </c>
      <c r="D191" s="19">
        <f t="shared" si="10"/>
        <v>0</v>
      </c>
      <c r="E191" s="19">
        <f t="shared" si="11"/>
        <v>0</v>
      </c>
      <c r="F191" s="4">
        <f t="shared" si="12"/>
        <v>0</v>
      </c>
      <c r="J191" s="19" t="str">
        <f t="shared" si="13"/>
        <v/>
      </c>
      <c r="O191" s="19" t="str">
        <f t="shared" si="14"/>
        <v/>
      </c>
    </row>
    <row r="192" spans="2:15" ht="15.75" customHeight="1" x14ac:dyDescent="0.2">
      <c r="B192" s="17" t="s">
        <v>382</v>
      </c>
      <c r="C192" s="17" t="s">
        <v>383</v>
      </c>
      <c r="D192" s="19">
        <f t="shared" si="10"/>
        <v>0</v>
      </c>
      <c r="E192" s="19">
        <f t="shared" si="11"/>
        <v>0</v>
      </c>
      <c r="F192" s="4">
        <f t="shared" si="12"/>
        <v>0</v>
      </c>
      <c r="J192" s="19" t="str">
        <f t="shared" si="13"/>
        <v/>
      </c>
      <c r="O192" s="19" t="str">
        <f t="shared" si="14"/>
        <v/>
      </c>
    </row>
    <row r="193" spans="2:15" ht="15.75" customHeight="1" x14ac:dyDescent="0.2">
      <c r="B193" s="17" t="s">
        <v>384</v>
      </c>
      <c r="C193" s="17" t="s">
        <v>385</v>
      </c>
      <c r="D193" s="19">
        <f t="shared" si="10"/>
        <v>0</v>
      </c>
      <c r="E193" s="19">
        <f t="shared" si="11"/>
        <v>0</v>
      </c>
      <c r="F193" s="4">
        <f t="shared" si="12"/>
        <v>0</v>
      </c>
      <c r="J193" s="19" t="str">
        <f t="shared" si="13"/>
        <v/>
      </c>
      <c r="O193" s="19" t="str">
        <f t="shared" si="14"/>
        <v/>
      </c>
    </row>
    <row r="194" spans="2:15" ht="15.75" customHeight="1" x14ac:dyDescent="0.2">
      <c r="B194" s="17" t="s">
        <v>386</v>
      </c>
      <c r="C194" s="17" t="s">
        <v>387</v>
      </c>
      <c r="D194" s="19">
        <f t="shared" si="10"/>
        <v>0</v>
      </c>
      <c r="E194" s="19">
        <f t="shared" si="11"/>
        <v>0</v>
      </c>
      <c r="F194" s="4">
        <f t="shared" si="12"/>
        <v>0</v>
      </c>
      <c r="J194" s="19" t="str">
        <f t="shared" si="13"/>
        <v/>
      </c>
      <c r="O194" s="19" t="str">
        <f t="shared" si="14"/>
        <v/>
      </c>
    </row>
    <row r="195" spans="2:15" ht="15.75" customHeight="1" x14ac:dyDescent="0.2">
      <c r="B195" s="17" t="s">
        <v>388</v>
      </c>
      <c r="C195" s="17" t="s">
        <v>389</v>
      </c>
      <c r="D195" s="19">
        <f t="shared" si="10"/>
        <v>0</v>
      </c>
      <c r="E195" s="19">
        <f t="shared" si="11"/>
        <v>0</v>
      </c>
      <c r="F195" s="4">
        <f t="shared" si="12"/>
        <v>0</v>
      </c>
      <c r="J195" s="19" t="str">
        <f t="shared" si="13"/>
        <v/>
      </c>
      <c r="O195" s="19" t="str">
        <f t="shared" si="14"/>
        <v/>
      </c>
    </row>
    <row r="196" spans="2:15" ht="15.75" customHeight="1" x14ac:dyDescent="0.2">
      <c r="B196" s="17" t="s">
        <v>390</v>
      </c>
      <c r="C196" s="17" t="s">
        <v>391</v>
      </c>
      <c r="D196" s="19">
        <f t="shared" ref="D196:D259" si="15">SUMIF($I$4:$I$5000, B196, $L$4:$L$5000)</f>
        <v>0</v>
      </c>
      <c r="E196" s="19">
        <f t="shared" ref="E196:E259" si="16">SUMIF($N$4:$N$5000, B196, $Q$4:$Q$5000)</f>
        <v>0</v>
      </c>
      <c r="F196" s="4">
        <f t="shared" ref="F196:F259" si="17">D196-E196</f>
        <v>0</v>
      </c>
      <c r="J196" s="19" t="str">
        <f t="shared" ref="J196:J259" si="18">IF(I196="", "", IFERROR(VLOOKUP(I196&amp;"", $B$4:$C$5000, 2, FALSE), "NO EXISTE"))</f>
        <v/>
      </c>
      <c r="O196" s="19" t="str">
        <f t="shared" ref="O196:O259" si="19">IF(N196="", "", IFERROR(VLOOKUP(N196&amp;"", $B$4:$C$5000, 2, FALSE), "NO EXISTE"))</f>
        <v/>
      </c>
    </row>
    <row r="197" spans="2:15" ht="15.75" customHeight="1" x14ac:dyDescent="0.2">
      <c r="B197" s="17" t="s">
        <v>392</v>
      </c>
      <c r="C197" s="17" t="s">
        <v>393</v>
      </c>
      <c r="D197" s="19">
        <f t="shared" si="15"/>
        <v>0</v>
      </c>
      <c r="E197" s="19">
        <f t="shared" si="16"/>
        <v>0</v>
      </c>
      <c r="F197" s="4">
        <f t="shared" si="17"/>
        <v>0</v>
      </c>
      <c r="J197" s="19" t="str">
        <f t="shared" si="18"/>
        <v/>
      </c>
      <c r="O197" s="19" t="str">
        <f t="shared" si="19"/>
        <v/>
      </c>
    </row>
    <row r="198" spans="2:15" ht="15.75" customHeight="1" x14ac:dyDescent="0.2">
      <c r="B198" s="17" t="s">
        <v>394</v>
      </c>
      <c r="C198" s="17" t="s">
        <v>395</v>
      </c>
      <c r="D198" s="19">
        <f t="shared" si="15"/>
        <v>0</v>
      </c>
      <c r="E198" s="19">
        <f t="shared" si="16"/>
        <v>0</v>
      </c>
      <c r="F198" s="4">
        <f t="shared" si="17"/>
        <v>0</v>
      </c>
      <c r="J198" s="19" t="str">
        <f t="shared" si="18"/>
        <v/>
      </c>
      <c r="O198" s="19" t="str">
        <f t="shared" si="19"/>
        <v/>
      </c>
    </row>
    <row r="199" spans="2:15" ht="15.75" customHeight="1" x14ac:dyDescent="0.2">
      <c r="B199" s="17" t="s">
        <v>396</v>
      </c>
      <c r="C199" s="17" t="s">
        <v>397</v>
      </c>
      <c r="D199" s="19">
        <f t="shared" si="15"/>
        <v>0</v>
      </c>
      <c r="E199" s="19">
        <f t="shared" si="16"/>
        <v>0</v>
      </c>
      <c r="F199" s="4">
        <f t="shared" si="17"/>
        <v>0</v>
      </c>
      <c r="J199" s="19" t="str">
        <f t="shared" si="18"/>
        <v/>
      </c>
      <c r="O199" s="19" t="str">
        <f t="shared" si="19"/>
        <v/>
      </c>
    </row>
    <row r="200" spans="2:15" ht="15.75" customHeight="1" x14ac:dyDescent="0.2">
      <c r="B200" s="17" t="s">
        <v>398</v>
      </c>
      <c r="C200" s="17" t="s">
        <v>399</v>
      </c>
      <c r="D200" s="19">
        <f t="shared" si="15"/>
        <v>0</v>
      </c>
      <c r="E200" s="19">
        <f t="shared" si="16"/>
        <v>0</v>
      </c>
      <c r="F200" s="4">
        <f t="shared" si="17"/>
        <v>0</v>
      </c>
      <c r="J200" s="19" t="str">
        <f t="shared" si="18"/>
        <v/>
      </c>
      <c r="O200" s="19" t="str">
        <f t="shared" si="19"/>
        <v/>
      </c>
    </row>
    <row r="201" spans="2:15" ht="15.75" customHeight="1" x14ac:dyDescent="0.2">
      <c r="B201" s="17" t="s">
        <v>400</v>
      </c>
      <c r="C201" s="17" t="s">
        <v>401</v>
      </c>
      <c r="D201" s="19">
        <f t="shared" si="15"/>
        <v>0</v>
      </c>
      <c r="E201" s="19">
        <f t="shared" si="16"/>
        <v>0</v>
      </c>
      <c r="F201" s="4">
        <f t="shared" si="17"/>
        <v>0</v>
      </c>
      <c r="J201" s="19" t="str">
        <f t="shared" si="18"/>
        <v/>
      </c>
      <c r="O201" s="19" t="str">
        <f t="shared" si="19"/>
        <v/>
      </c>
    </row>
    <row r="202" spans="2:15" ht="15.75" customHeight="1" x14ac:dyDescent="0.2">
      <c r="B202" s="17" t="s">
        <v>402</v>
      </c>
      <c r="C202" s="17" t="s">
        <v>403</v>
      </c>
      <c r="D202" s="19">
        <f t="shared" si="15"/>
        <v>0</v>
      </c>
      <c r="E202" s="19">
        <f t="shared" si="16"/>
        <v>0</v>
      </c>
      <c r="F202" s="4">
        <f t="shared" si="17"/>
        <v>0</v>
      </c>
      <c r="J202" s="19" t="str">
        <f t="shared" si="18"/>
        <v/>
      </c>
      <c r="O202" s="19" t="str">
        <f t="shared" si="19"/>
        <v/>
      </c>
    </row>
    <row r="203" spans="2:15" ht="15.75" customHeight="1" x14ac:dyDescent="0.2">
      <c r="B203" s="17" t="s">
        <v>404</v>
      </c>
      <c r="C203" s="17" t="s">
        <v>405</v>
      </c>
      <c r="D203" s="19">
        <f t="shared" si="15"/>
        <v>0</v>
      </c>
      <c r="E203" s="19">
        <f t="shared" si="16"/>
        <v>0</v>
      </c>
      <c r="F203" s="4">
        <f t="shared" si="17"/>
        <v>0</v>
      </c>
      <c r="J203" s="19" t="str">
        <f t="shared" si="18"/>
        <v/>
      </c>
      <c r="O203" s="19" t="str">
        <f t="shared" si="19"/>
        <v/>
      </c>
    </row>
    <row r="204" spans="2:15" ht="15.75" customHeight="1" x14ac:dyDescent="0.2">
      <c r="B204" s="17" t="s">
        <v>406</v>
      </c>
      <c r="C204" s="17" t="s">
        <v>407</v>
      </c>
      <c r="D204" s="19">
        <f t="shared" si="15"/>
        <v>0</v>
      </c>
      <c r="E204" s="19">
        <f t="shared" si="16"/>
        <v>0</v>
      </c>
      <c r="F204" s="4">
        <f t="shared" si="17"/>
        <v>0</v>
      </c>
      <c r="J204" s="19" t="str">
        <f t="shared" si="18"/>
        <v/>
      </c>
      <c r="O204" s="19" t="str">
        <f t="shared" si="19"/>
        <v/>
      </c>
    </row>
    <row r="205" spans="2:15" ht="15.75" customHeight="1" x14ac:dyDescent="0.2">
      <c r="B205" s="17" t="s">
        <v>408</v>
      </c>
      <c r="C205" s="17" t="s">
        <v>409</v>
      </c>
      <c r="D205" s="19">
        <f t="shared" si="15"/>
        <v>0</v>
      </c>
      <c r="E205" s="19">
        <f t="shared" si="16"/>
        <v>0</v>
      </c>
      <c r="F205" s="4">
        <f t="shared" si="17"/>
        <v>0</v>
      </c>
      <c r="J205" s="19" t="str">
        <f t="shared" si="18"/>
        <v/>
      </c>
      <c r="O205" s="19" t="str">
        <f t="shared" si="19"/>
        <v/>
      </c>
    </row>
    <row r="206" spans="2:15" ht="15.75" customHeight="1" x14ac:dyDescent="0.2">
      <c r="B206" s="17" t="s">
        <v>410</v>
      </c>
      <c r="C206" s="17" t="s">
        <v>411</v>
      </c>
      <c r="D206" s="19">
        <f t="shared" si="15"/>
        <v>0</v>
      </c>
      <c r="E206" s="19">
        <f t="shared" si="16"/>
        <v>0</v>
      </c>
      <c r="F206" s="4">
        <f t="shared" si="17"/>
        <v>0</v>
      </c>
      <c r="J206" s="19" t="str">
        <f t="shared" si="18"/>
        <v/>
      </c>
      <c r="O206" s="19" t="str">
        <f t="shared" si="19"/>
        <v/>
      </c>
    </row>
    <row r="207" spans="2:15" ht="15.75" customHeight="1" x14ac:dyDescent="0.2">
      <c r="B207" s="17" t="s">
        <v>412</v>
      </c>
      <c r="C207" s="17" t="s">
        <v>413</v>
      </c>
      <c r="D207" s="19">
        <f t="shared" si="15"/>
        <v>0</v>
      </c>
      <c r="E207" s="19">
        <f t="shared" si="16"/>
        <v>0</v>
      </c>
      <c r="F207" s="4">
        <f t="shared" si="17"/>
        <v>0</v>
      </c>
      <c r="J207" s="19" t="str">
        <f t="shared" si="18"/>
        <v/>
      </c>
      <c r="O207" s="19" t="str">
        <f t="shared" si="19"/>
        <v/>
      </c>
    </row>
    <row r="208" spans="2:15" ht="15.75" customHeight="1" x14ac:dyDescent="0.2">
      <c r="B208" s="17" t="s">
        <v>414</v>
      </c>
      <c r="C208" s="17" t="s">
        <v>415</v>
      </c>
      <c r="D208" s="19">
        <f t="shared" si="15"/>
        <v>0</v>
      </c>
      <c r="E208" s="19">
        <f t="shared" si="16"/>
        <v>0</v>
      </c>
      <c r="F208" s="4">
        <f t="shared" si="17"/>
        <v>0</v>
      </c>
      <c r="J208" s="19" t="str">
        <f t="shared" si="18"/>
        <v/>
      </c>
      <c r="O208" s="19" t="str">
        <f t="shared" si="19"/>
        <v/>
      </c>
    </row>
    <row r="209" spans="2:15" ht="15.75" customHeight="1" x14ac:dyDescent="0.2">
      <c r="B209" s="17" t="s">
        <v>416</v>
      </c>
      <c r="C209" s="17" t="s">
        <v>417</v>
      </c>
      <c r="D209" s="19">
        <f t="shared" si="15"/>
        <v>0</v>
      </c>
      <c r="E209" s="19">
        <f t="shared" si="16"/>
        <v>0</v>
      </c>
      <c r="F209" s="4">
        <f t="shared" si="17"/>
        <v>0</v>
      </c>
      <c r="J209" s="19" t="str">
        <f t="shared" si="18"/>
        <v/>
      </c>
      <c r="O209" s="19" t="str">
        <f t="shared" si="19"/>
        <v/>
      </c>
    </row>
    <row r="210" spans="2:15" ht="15.75" customHeight="1" x14ac:dyDescent="0.2">
      <c r="B210" s="17" t="s">
        <v>418</v>
      </c>
      <c r="C210" s="17" t="s">
        <v>419</v>
      </c>
      <c r="D210" s="19">
        <f t="shared" si="15"/>
        <v>0</v>
      </c>
      <c r="E210" s="19">
        <f t="shared" si="16"/>
        <v>0</v>
      </c>
      <c r="F210" s="4">
        <f t="shared" si="17"/>
        <v>0</v>
      </c>
      <c r="J210" s="19" t="str">
        <f t="shared" si="18"/>
        <v/>
      </c>
      <c r="O210" s="19" t="str">
        <f t="shared" si="19"/>
        <v/>
      </c>
    </row>
    <row r="211" spans="2:15" ht="15.75" customHeight="1" x14ac:dyDescent="0.2">
      <c r="B211" s="17" t="s">
        <v>420</v>
      </c>
      <c r="C211" s="17" t="s">
        <v>421</v>
      </c>
      <c r="D211" s="19">
        <f t="shared" si="15"/>
        <v>0</v>
      </c>
      <c r="E211" s="19">
        <f t="shared" si="16"/>
        <v>0</v>
      </c>
      <c r="F211" s="4">
        <f t="shared" si="17"/>
        <v>0</v>
      </c>
      <c r="J211" s="19" t="str">
        <f t="shared" si="18"/>
        <v/>
      </c>
      <c r="O211" s="19" t="str">
        <f t="shared" si="19"/>
        <v/>
      </c>
    </row>
    <row r="212" spans="2:15" ht="15.75" customHeight="1" x14ac:dyDescent="0.2">
      <c r="B212" s="17" t="s">
        <v>422</v>
      </c>
      <c r="C212" s="17" t="s">
        <v>423</v>
      </c>
      <c r="D212" s="19">
        <f t="shared" si="15"/>
        <v>0</v>
      </c>
      <c r="E212" s="19">
        <f t="shared" si="16"/>
        <v>0</v>
      </c>
      <c r="F212" s="4">
        <f t="shared" si="17"/>
        <v>0</v>
      </c>
      <c r="J212" s="19" t="str">
        <f t="shared" si="18"/>
        <v/>
      </c>
      <c r="O212" s="19" t="str">
        <f t="shared" si="19"/>
        <v/>
      </c>
    </row>
    <row r="213" spans="2:15" ht="15.75" customHeight="1" x14ac:dyDescent="0.2">
      <c r="B213" s="17" t="s">
        <v>424</v>
      </c>
      <c r="C213" s="17" t="s">
        <v>425</v>
      </c>
      <c r="D213" s="19">
        <f t="shared" si="15"/>
        <v>0</v>
      </c>
      <c r="E213" s="19">
        <f t="shared" si="16"/>
        <v>0</v>
      </c>
      <c r="F213" s="4">
        <f t="shared" si="17"/>
        <v>0</v>
      </c>
      <c r="J213" s="19" t="str">
        <f t="shared" si="18"/>
        <v/>
      </c>
      <c r="O213" s="19" t="str">
        <f t="shared" si="19"/>
        <v/>
      </c>
    </row>
    <row r="214" spans="2:15" ht="15.75" customHeight="1" x14ac:dyDescent="0.2">
      <c r="B214" s="17" t="s">
        <v>426</v>
      </c>
      <c r="C214" s="17" t="s">
        <v>427</v>
      </c>
      <c r="D214" s="19">
        <f t="shared" si="15"/>
        <v>0</v>
      </c>
      <c r="E214" s="19">
        <f t="shared" si="16"/>
        <v>0</v>
      </c>
      <c r="F214" s="4">
        <f t="shared" si="17"/>
        <v>0</v>
      </c>
      <c r="J214" s="19" t="str">
        <f t="shared" si="18"/>
        <v/>
      </c>
      <c r="O214" s="19" t="str">
        <f t="shared" si="19"/>
        <v/>
      </c>
    </row>
    <row r="215" spans="2:15" ht="15.75" customHeight="1" x14ac:dyDescent="0.2">
      <c r="B215" s="17" t="s">
        <v>428</v>
      </c>
      <c r="C215" s="17" t="s">
        <v>429</v>
      </c>
      <c r="D215" s="19">
        <f t="shared" si="15"/>
        <v>0</v>
      </c>
      <c r="E215" s="19">
        <f t="shared" si="16"/>
        <v>0</v>
      </c>
      <c r="F215" s="4">
        <f t="shared" si="17"/>
        <v>0</v>
      </c>
      <c r="J215" s="19" t="str">
        <f t="shared" si="18"/>
        <v/>
      </c>
      <c r="O215" s="19" t="str">
        <f t="shared" si="19"/>
        <v/>
      </c>
    </row>
    <row r="216" spans="2:15" ht="15.75" customHeight="1" x14ac:dyDescent="0.2">
      <c r="B216" s="17" t="s">
        <v>430</v>
      </c>
      <c r="C216" s="17" t="s">
        <v>431</v>
      </c>
      <c r="D216" s="19">
        <f t="shared" si="15"/>
        <v>0</v>
      </c>
      <c r="E216" s="19">
        <f t="shared" si="16"/>
        <v>0</v>
      </c>
      <c r="F216" s="4">
        <f t="shared" si="17"/>
        <v>0</v>
      </c>
      <c r="J216" s="19" t="str">
        <f t="shared" si="18"/>
        <v/>
      </c>
      <c r="O216" s="19" t="str">
        <f t="shared" si="19"/>
        <v/>
      </c>
    </row>
    <row r="217" spans="2:15" ht="15.75" customHeight="1" x14ac:dyDescent="0.2">
      <c r="B217" s="17" t="s">
        <v>432</v>
      </c>
      <c r="C217" s="17" t="s">
        <v>433</v>
      </c>
      <c r="D217" s="19">
        <f t="shared" si="15"/>
        <v>0</v>
      </c>
      <c r="E217" s="19">
        <f t="shared" si="16"/>
        <v>0</v>
      </c>
      <c r="F217" s="4">
        <f t="shared" si="17"/>
        <v>0</v>
      </c>
      <c r="J217" s="19" t="str">
        <f t="shared" si="18"/>
        <v/>
      </c>
      <c r="O217" s="19" t="str">
        <f t="shared" si="19"/>
        <v/>
      </c>
    </row>
    <row r="218" spans="2:15" ht="15.75" customHeight="1" x14ac:dyDescent="0.2">
      <c r="B218" s="17" t="s">
        <v>434</v>
      </c>
      <c r="C218" s="17" t="s">
        <v>435</v>
      </c>
      <c r="D218" s="19">
        <f t="shared" si="15"/>
        <v>0</v>
      </c>
      <c r="E218" s="19">
        <f t="shared" si="16"/>
        <v>0</v>
      </c>
      <c r="F218" s="4">
        <f t="shared" si="17"/>
        <v>0</v>
      </c>
      <c r="J218" s="19" t="str">
        <f t="shared" si="18"/>
        <v/>
      </c>
      <c r="O218" s="19" t="str">
        <f t="shared" si="19"/>
        <v/>
      </c>
    </row>
    <row r="219" spans="2:15" ht="15.75" customHeight="1" x14ac:dyDescent="0.2">
      <c r="B219" s="17" t="s">
        <v>436</v>
      </c>
      <c r="C219" s="17" t="s">
        <v>437</v>
      </c>
      <c r="D219" s="19">
        <f t="shared" si="15"/>
        <v>0</v>
      </c>
      <c r="E219" s="19">
        <f t="shared" si="16"/>
        <v>0</v>
      </c>
      <c r="F219" s="4">
        <f t="shared" si="17"/>
        <v>0</v>
      </c>
      <c r="J219" s="19" t="str">
        <f t="shared" si="18"/>
        <v/>
      </c>
      <c r="O219" s="19" t="str">
        <f t="shared" si="19"/>
        <v/>
      </c>
    </row>
    <row r="220" spans="2:15" ht="15.75" customHeight="1" x14ac:dyDescent="0.2">
      <c r="B220" s="17" t="s">
        <v>438</v>
      </c>
      <c r="C220" s="17" t="s">
        <v>439</v>
      </c>
      <c r="D220" s="19">
        <f t="shared" si="15"/>
        <v>0</v>
      </c>
      <c r="E220" s="19">
        <f t="shared" si="16"/>
        <v>0</v>
      </c>
      <c r="F220" s="4">
        <f t="shared" si="17"/>
        <v>0</v>
      </c>
      <c r="J220" s="19" t="str">
        <f t="shared" si="18"/>
        <v/>
      </c>
      <c r="O220" s="19" t="str">
        <f t="shared" si="19"/>
        <v/>
      </c>
    </row>
    <row r="221" spans="2:15" ht="15.75" customHeight="1" x14ac:dyDescent="0.2">
      <c r="B221" s="17" t="s">
        <v>440</v>
      </c>
      <c r="C221" s="17" t="s">
        <v>441</v>
      </c>
      <c r="D221" s="19">
        <f t="shared" si="15"/>
        <v>0</v>
      </c>
      <c r="E221" s="19">
        <f t="shared" si="16"/>
        <v>0</v>
      </c>
      <c r="F221" s="4">
        <f t="shared" si="17"/>
        <v>0</v>
      </c>
      <c r="J221" s="19" t="str">
        <f t="shared" si="18"/>
        <v/>
      </c>
      <c r="O221" s="19" t="str">
        <f t="shared" si="19"/>
        <v/>
      </c>
    </row>
    <row r="222" spans="2:15" ht="15.75" customHeight="1" x14ac:dyDescent="0.2">
      <c r="B222" s="17" t="s">
        <v>442</v>
      </c>
      <c r="C222" s="17" t="s">
        <v>443</v>
      </c>
      <c r="D222" s="19">
        <f t="shared" si="15"/>
        <v>0</v>
      </c>
      <c r="E222" s="19">
        <f t="shared" si="16"/>
        <v>0</v>
      </c>
      <c r="F222" s="4">
        <f t="shared" si="17"/>
        <v>0</v>
      </c>
      <c r="J222" s="19" t="str">
        <f t="shared" si="18"/>
        <v/>
      </c>
      <c r="O222" s="19" t="str">
        <f t="shared" si="19"/>
        <v/>
      </c>
    </row>
    <row r="223" spans="2:15" ht="15.75" customHeight="1" x14ac:dyDescent="0.2">
      <c r="B223" s="17" t="s">
        <v>444</v>
      </c>
      <c r="C223" s="17" t="s">
        <v>445</v>
      </c>
      <c r="D223" s="19">
        <f t="shared" si="15"/>
        <v>0</v>
      </c>
      <c r="E223" s="19">
        <f t="shared" si="16"/>
        <v>0</v>
      </c>
      <c r="F223" s="4">
        <f t="shared" si="17"/>
        <v>0</v>
      </c>
      <c r="J223" s="19" t="str">
        <f t="shared" si="18"/>
        <v/>
      </c>
      <c r="O223" s="19" t="str">
        <f t="shared" si="19"/>
        <v/>
      </c>
    </row>
    <row r="224" spans="2:15" ht="15.75" customHeight="1" x14ac:dyDescent="0.2">
      <c r="B224" s="17" t="s">
        <v>446</v>
      </c>
      <c r="C224" s="17" t="s">
        <v>447</v>
      </c>
      <c r="D224" s="19">
        <f t="shared" si="15"/>
        <v>0</v>
      </c>
      <c r="E224" s="19">
        <f t="shared" si="16"/>
        <v>0</v>
      </c>
      <c r="F224" s="4">
        <f t="shared" si="17"/>
        <v>0</v>
      </c>
      <c r="J224" s="19" t="str">
        <f t="shared" si="18"/>
        <v/>
      </c>
      <c r="O224" s="19" t="str">
        <f t="shared" si="19"/>
        <v/>
      </c>
    </row>
    <row r="225" spans="2:15" ht="15.75" customHeight="1" x14ac:dyDescent="0.2">
      <c r="B225" s="17" t="s">
        <v>448</v>
      </c>
      <c r="C225" s="17" t="s">
        <v>449</v>
      </c>
      <c r="D225" s="19">
        <f t="shared" si="15"/>
        <v>0</v>
      </c>
      <c r="E225" s="19">
        <f t="shared" si="16"/>
        <v>0</v>
      </c>
      <c r="F225" s="4">
        <f t="shared" si="17"/>
        <v>0</v>
      </c>
      <c r="J225" s="19" t="str">
        <f t="shared" si="18"/>
        <v/>
      </c>
      <c r="O225" s="19" t="str">
        <f t="shared" si="19"/>
        <v/>
      </c>
    </row>
    <row r="226" spans="2:15" ht="15.75" customHeight="1" x14ac:dyDescent="0.2">
      <c r="B226" s="17" t="s">
        <v>450</v>
      </c>
      <c r="C226" s="17" t="s">
        <v>451</v>
      </c>
      <c r="D226" s="19">
        <f t="shared" si="15"/>
        <v>0</v>
      </c>
      <c r="E226" s="19">
        <f t="shared" si="16"/>
        <v>0</v>
      </c>
      <c r="F226" s="4">
        <f t="shared" si="17"/>
        <v>0</v>
      </c>
      <c r="J226" s="19" t="str">
        <f t="shared" si="18"/>
        <v/>
      </c>
      <c r="O226" s="19" t="str">
        <f t="shared" si="19"/>
        <v/>
      </c>
    </row>
    <row r="227" spans="2:15" ht="15.75" customHeight="1" x14ac:dyDescent="0.2">
      <c r="B227" s="17" t="s">
        <v>452</v>
      </c>
      <c r="C227" s="17" t="s">
        <v>453</v>
      </c>
      <c r="D227" s="19">
        <f t="shared" si="15"/>
        <v>0</v>
      </c>
      <c r="E227" s="19">
        <f t="shared" si="16"/>
        <v>0</v>
      </c>
      <c r="F227" s="4">
        <f t="shared" si="17"/>
        <v>0</v>
      </c>
      <c r="J227" s="19" t="str">
        <f t="shared" si="18"/>
        <v/>
      </c>
      <c r="O227" s="19" t="str">
        <f t="shared" si="19"/>
        <v/>
      </c>
    </row>
    <row r="228" spans="2:15" ht="15.75" customHeight="1" x14ac:dyDescent="0.2">
      <c r="B228" s="17" t="s">
        <v>454</v>
      </c>
      <c r="C228" s="17" t="s">
        <v>455</v>
      </c>
      <c r="D228" s="19">
        <f t="shared" si="15"/>
        <v>0</v>
      </c>
      <c r="E228" s="19">
        <f t="shared" si="16"/>
        <v>0</v>
      </c>
      <c r="F228" s="4">
        <f t="shared" si="17"/>
        <v>0</v>
      </c>
      <c r="J228" s="19" t="str">
        <f t="shared" si="18"/>
        <v/>
      </c>
      <c r="O228" s="19" t="str">
        <f t="shared" si="19"/>
        <v/>
      </c>
    </row>
    <row r="229" spans="2:15" ht="15.75" customHeight="1" x14ac:dyDescent="0.2">
      <c r="B229" s="17" t="s">
        <v>456</v>
      </c>
      <c r="C229" s="17" t="s">
        <v>457</v>
      </c>
      <c r="D229" s="19">
        <f t="shared" si="15"/>
        <v>0</v>
      </c>
      <c r="E229" s="19">
        <f t="shared" si="16"/>
        <v>0</v>
      </c>
      <c r="F229" s="4">
        <f t="shared" si="17"/>
        <v>0</v>
      </c>
      <c r="J229" s="19" t="str">
        <f t="shared" si="18"/>
        <v/>
      </c>
      <c r="O229" s="19" t="str">
        <f t="shared" si="19"/>
        <v/>
      </c>
    </row>
    <row r="230" spans="2:15" ht="15.75" customHeight="1" x14ac:dyDescent="0.2">
      <c r="B230" s="17" t="s">
        <v>458</v>
      </c>
      <c r="C230" s="17" t="s">
        <v>459</v>
      </c>
      <c r="D230" s="19">
        <f t="shared" si="15"/>
        <v>0</v>
      </c>
      <c r="E230" s="19">
        <f t="shared" si="16"/>
        <v>0</v>
      </c>
      <c r="F230" s="4">
        <f t="shared" si="17"/>
        <v>0</v>
      </c>
      <c r="J230" s="19" t="str">
        <f t="shared" si="18"/>
        <v/>
      </c>
      <c r="O230" s="19" t="str">
        <f t="shared" si="19"/>
        <v/>
      </c>
    </row>
    <row r="231" spans="2:15" ht="15.75" customHeight="1" x14ac:dyDescent="0.2">
      <c r="B231" s="17" t="s">
        <v>460</v>
      </c>
      <c r="C231" s="17" t="s">
        <v>461</v>
      </c>
      <c r="D231" s="19">
        <f t="shared" si="15"/>
        <v>0</v>
      </c>
      <c r="E231" s="19">
        <f t="shared" si="16"/>
        <v>0</v>
      </c>
      <c r="F231" s="4">
        <f t="shared" si="17"/>
        <v>0</v>
      </c>
      <c r="J231" s="19" t="str">
        <f t="shared" si="18"/>
        <v/>
      </c>
      <c r="O231" s="19" t="str">
        <f t="shared" si="19"/>
        <v/>
      </c>
    </row>
    <row r="232" spans="2:15" ht="15.75" customHeight="1" x14ac:dyDescent="0.2">
      <c r="B232" s="17" t="s">
        <v>462</v>
      </c>
      <c r="C232" s="17" t="s">
        <v>463</v>
      </c>
      <c r="D232" s="19">
        <f t="shared" si="15"/>
        <v>0</v>
      </c>
      <c r="E232" s="19">
        <f t="shared" si="16"/>
        <v>0</v>
      </c>
      <c r="F232" s="4">
        <f t="shared" si="17"/>
        <v>0</v>
      </c>
      <c r="J232" s="19" t="str">
        <f t="shared" si="18"/>
        <v/>
      </c>
      <c r="O232" s="19" t="str">
        <f t="shared" si="19"/>
        <v/>
      </c>
    </row>
    <row r="233" spans="2:15" ht="15.75" customHeight="1" x14ac:dyDescent="0.2">
      <c r="B233" s="17" t="s">
        <v>464</v>
      </c>
      <c r="C233" s="17" t="s">
        <v>465</v>
      </c>
      <c r="D233" s="19">
        <f t="shared" si="15"/>
        <v>0</v>
      </c>
      <c r="E233" s="19">
        <f t="shared" si="16"/>
        <v>0</v>
      </c>
      <c r="F233" s="4">
        <f t="shared" si="17"/>
        <v>0</v>
      </c>
      <c r="J233" s="19" t="str">
        <f t="shared" si="18"/>
        <v/>
      </c>
      <c r="O233" s="19" t="str">
        <f t="shared" si="19"/>
        <v/>
      </c>
    </row>
    <row r="234" spans="2:15" ht="15.75" customHeight="1" x14ac:dyDescent="0.2">
      <c r="B234" s="17" t="s">
        <v>466</v>
      </c>
      <c r="C234" s="17" t="s">
        <v>467</v>
      </c>
      <c r="D234" s="19">
        <f t="shared" si="15"/>
        <v>0</v>
      </c>
      <c r="E234" s="19">
        <f t="shared" si="16"/>
        <v>0</v>
      </c>
      <c r="F234" s="4">
        <f t="shared" si="17"/>
        <v>0</v>
      </c>
      <c r="J234" s="19" t="str">
        <f t="shared" si="18"/>
        <v/>
      </c>
      <c r="O234" s="19" t="str">
        <f t="shared" si="19"/>
        <v/>
      </c>
    </row>
    <row r="235" spans="2:15" ht="15.75" customHeight="1" x14ac:dyDescent="0.2">
      <c r="B235" s="17" t="s">
        <v>468</v>
      </c>
      <c r="C235" s="17" t="s">
        <v>469</v>
      </c>
      <c r="D235" s="19">
        <f t="shared" si="15"/>
        <v>0</v>
      </c>
      <c r="E235" s="19">
        <f t="shared" si="16"/>
        <v>0</v>
      </c>
      <c r="F235" s="4">
        <f t="shared" si="17"/>
        <v>0</v>
      </c>
      <c r="J235" s="19" t="str">
        <f t="shared" si="18"/>
        <v/>
      </c>
      <c r="O235" s="19" t="str">
        <f t="shared" si="19"/>
        <v/>
      </c>
    </row>
    <row r="236" spans="2:15" ht="15.75" customHeight="1" x14ac:dyDescent="0.2">
      <c r="B236" s="17" t="s">
        <v>470</v>
      </c>
      <c r="C236" s="17" t="s">
        <v>471</v>
      </c>
      <c r="D236" s="19">
        <f t="shared" si="15"/>
        <v>0</v>
      </c>
      <c r="E236" s="19">
        <f t="shared" si="16"/>
        <v>0</v>
      </c>
      <c r="F236" s="4">
        <f t="shared" si="17"/>
        <v>0</v>
      </c>
      <c r="J236" s="19" t="str">
        <f t="shared" si="18"/>
        <v/>
      </c>
      <c r="O236" s="19" t="str">
        <f t="shared" si="19"/>
        <v/>
      </c>
    </row>
    <row r="237" spans="2:15" ht="15.75" customHeight="1" x14ac:dyDescent="0.2">
      <c r="B237" s="17" t="s">
        <v>472</v>
      </c>
      <c r="C237" s="17" t="s">
        <v>473</v>
      </c>
      <c r="D237" s="19">
        <f t="shared" si="15"/>
        <v>0</v>
      </c>
      <c r="E237" s="19">
        <f t="shared" si="16"/>
        <v>0</v>
      </c>
      <c r="F237" s="4">
        <f t="shared" si="17"/>
        <v>0</v>
      </c>
      <c r="J237" s="19" t="str">
        <f t="shared" si="18"/>
        <v/>
      </c>
      <c r="O237" s="19" t="str">
        <f t="shared" si="19"/>
        <v/>
      </c>
    </row>
    <row r="238" spans="2:15" ht="15.75" customHeight="1" x14ac:dyDescent="0.2">
      <c r="B238" s="17" t="s">
        <v>474</v>
      </c>
      <c r="C238" s="17" t="s">
        <v>475</v>
      </c>
      <c r="D238" s="19">
        <f t="shared" si="15"/>
        <v>0</v>
      </c>
      <c r="E238" s="19">
        <f t="shared" si="16"/>
        <v>0</v>
      </c>
      <c r="F238" s="4">
        <f t="shared" si="17"/>
        <v>0</v>
      </c>
      <c r="J238" s="19" t="str">
        <f t="shared" si="18"/>
        <v/>
      </c>
      <c r="O238" s="19" t="str">
        <f t="shared" si="19"/>
        <v/>
      </c>
    </row>
    <row r="239" spans="2:15" ht="15.75" customHeight="1" x14ac:dyDescent="0.2">
      <c r="B239" s="17" t="s">
        <v>476</v>
      </c>
      <c r="C239" s="17" t="s">
        <v>477</v>
      </c>
      <c r="D239" s="19">
        <f t="shared" si="15"/>
        <v>0</v>
      </c>
      <c r="E239" s="19">
        <f t="shared" si="16"/>
        <v>0</v>
      </c>
      <c r="F239" s="4">
        <f t="shared" si="17"/>
        <v>0</v>
      </c>
      <c r="J239" s="19" t="str">
        <f t="shared" si="18"/>
        <v/>
      </c>
      <c r="O239" s="19" t="str">
        <f t="shared" si="19"/>
        <v/>
      </c>
    </row>
    <row r="240" spans="2:15" ht="15.75" customHeight="1" x14ac:dyDescent="0.2">
      <c r="B240" s="17" t="s">
        <v>478</v>
      </c>
      <c r="C240" s="17" t="s">
        <v>479</v>
      </c>
      <c r="D240" s="19">
        <f t="shared" si="15"/>
        <v>0</v>
      </c>
      <c r="E240" s="19">
        <f t="shared" si="16"/>
        <v>0</v>
      </c>
      <c r="F240" s="4">
        <f t="shared" si="17"/>
        <v>0</v>
      </c>
      <c r="J240" s="19" t="str">
        <f t="shared" si="18"/>
        <v/>
      </c>
      <c r="O240" s="19" t="str">
        <f t="shared" si="19"/>
        <v/>
      </c>
    </row>
    <row r="241" spans="2:15" ht="15.75" customHeight="1" x14ac:dyDescent="0.2">
      <c r="B241" s="17" t="s">
        <v>480</v>
      </c>
      <c r="C241" s="17" t="s">
        <v>481</v>
      </c>
      <c r="D241" s="19">
        <f t="shared" si="15"/>
        <v>0</v>
      </c>
      <c r="E241" s="19">
        <f t="shared" si="16"/>
        <v>0</v>
      </c>
      <c r="F241" s="4">
        <f t="shared" si="17"/>
        <v>0</v>
      </c>
      <c r="J241" s="19" t="str">
        <f t="shared" si="18"/>
        <v/>
      </c>
      <c r="O241" s="19" t="str">
        <f t="shared" si="19"/>
        <v/>
      </c>
    </row>
    <row r="242" spans="2:15" ht="15.75" customHeight="1" x14ac:dyDescent="0.2">
      <c r="B242" s="17" t="s">
        <v>482</v>
      </c>
      <c r="C242" s="17" t="s">
        <v>483</v>
      </c>
      <c r="D242" s="19">
        <f t="shared" si="15"/>
        <v>0</v>
      </c>
      <c r="E242" s="19">
        <f t="shared" si="16"/>
        <v>0</v>
      </c>
      <c r="F242" s="4">
        <f t="shared" si="17"/>
        <v>0</v>
      </c>
      <c r="J242" s="19" t="str">
        <f t="shared" si="18"/>
        <v/>
      </c>
      <c r="O242" s="19" t="str">
        <f t="shared" si="19"/>
        <v/>
      </c>
    </row>
    <row r="243" spans="2:15" ht="15.75" customHeight="1" x14ac:dyDescent="0.2">
      <c r="B243" s="17" t="s">
        <v>484</v>
      </c>
      <c r="C243" s="17" t="s">
        <v>485</v>
      </c>
      <c r="D243" s="19">
        <f t="shared" si="15"/>
        <v>0</v>
      </c>
      <c r="E243" s="19">
        <f t="shared" si="16"/>
        <v>0</v>
      </c>
      <c r="F243" s="4">
        <f t="shared" si="17"/>
        <v>0</v>
      </c>
      <c r="J243" s="19" t="str">
        <f t="shared" si="18"/>
        <v/>
      </c>
      <c r="O243" s="19" t="str">
        <f t="shared" si="19"/>
        <v/>
      </c>
    </row>
    <row r="244" spans="2:15" ht="15.75" customHeight="1" x14ac:dyDescent="0.2">
      <c r="B244" s="17" t="s">
        <v>486</v>
      </c>
      <c r="C244" s="17" t="s">
        <v>487</v>
      </c>
      <c r="D244" s="19">
        <f t="shared" si="15"/>
        <v>0</v>
      </c>
      <c r="E244" s="19">
        <f t="shared" si="16"/>
        <v>0</v>
      </c>
      <c r="F244" s="4">
        <f t="shared" si="17"/>
        <v>0</v>
      </c>
      <c r="J244" s="19" t="str">
        <f t="shared" si="18"/>
        <v/>
      </c>
      <c r="O244" s="19" t="str">
        <f t="shared" si="19"/>
        <v/>
      </c>
    </row>
    <row r="245" spans="2:15" ht="15.75" customHeight="1" x14ac:dyDescent="0.2">
      <c r="B245" s="17" t="s">
        <v>488</v>
      </c>
      <c r="C245" s="17" t="s">
        <v>489</v>
      </c>
      <c r="D245" s="19">
        <f t="shared" si="15"/>
        <v>0</v>
      </c>
      <c r="E245" s="19">
        <f t="shared" si="16"/>
        <v>0</v>
      </c>
      <c r="F245" s="4">
        <f t="shared" si="17"/>
        <v>0</v>
      </c>
      <c r="J245" s="19" t="str">
        <f t="shared" si="18"/>
        <v/>
      </c>
      <c r="O245" s="19" t="str">
        <f t="shared" si="19"/>
        <v/>
      </c>
    </row>
    <row r="246" spans="2:15" ht="15.75" customHeight="1" x14ac:dyDescent="0.2">
      <c r="B246" s="17" t="s">
        <v>490</v>
      </c>
      <c r="C246" s="17" t="s">
        <v>491</v>
      </c>
      <c r="D246" s="19">
        <f t="shared" si="15"/>
        <v>0</v>
      </c>
      <c r="E246" s="19">
        <f t="shared" si="16"/>
        <v>0</v>
      </c>
      <c r="F246" s="4">
        <f t="shared" si="17"/>
        <v>0</v>
      </c>
      <c r="J246" s="19" t="str">
        <f t="shared" si="18"/>
        <v/>
      </c>
      <c r="O246" s="19" t="str">
        <f t="shared" si="19"/>
        <v/>
      </c>
    </row>
    <row r="247" spans="2:15" ht="15.75" customHeight="1" x14ac:dyDescent="0.2">
      <c r="B247" s="17" t="s">
        <v>492</v>
      </c>
      <c r="C247" s="17" t="s">
        <v>493</v>
      </c>
      <c r="D247" s="19">
        <f t="shared" si="15"/>
        <v>0</v>
      </c>
      <c r="E247" s="19">
        <f t="shared" si="16"/>
        <v>0</v>
      </c>
      <c r="F247" s="4">
        <f t="shared" si="17"/>
        <v>0</v>
      </c>
      <c r="J247" s="19" t="str">
        <f t="shared" si="18"/>
        <v/>
      </c>
      <c r="O247" s="19" t="str">
        <f t="shared" si="19"/>
        <v/>
      </c>
    </row>
    <row r="248" spans="2:15" ht="15.75" customHeight="1" x14ac:dyDescent="0.2">
      <c r="B248" s="17" t="s">
        <v>494</v>
      </c>
      <c r="C248" s="17" t="s">
        <v>495</v>
      </c>
      <c r="D248" s="19">
        <f t="shared" si="15"/>
        <v>0</v>
      </c>
      <c r="E248" s="19">
        <f t="shared" si="16"/>
        <v>0</v>
      </c>
      <c r="F248" s="4">
        <f t="shared" si="17"/>
        <v>0</v>
      </c>
      <c r="J248" s="19" t="str">
        <f t="shared" si="18"/>
        <v/>
      </c>
      <c r="O248" s="19" t="str">
        <f t="shared" si="19"/>
        <v/>
      </c>
    </row>
    <row r="249" spans="2:15" ht="15.75" customHeight="1" x14ac:dyDescent="0.2">
      <c r="B249" s="17" t="s">
        <v>496</v>
      </c>
      <c r="C249" s="17" t="s">
        <v>497</v>
      </c>
      <c r="D249" s="19">
        <f t="shared" si="15"/>
        <v>0</v>
      </c>
      <c r="E249" s="19">
        <f t="shared" si="16"/>
        <v>0</v>
      </c>
      <c r="F249" s="4">
        <f t="shared" si="17"/>
        <v>0</v>
      </c>
      <c r="J249" s="19" t="str">
        <f t="shared" si="18"/>
        <v/>
      </c>
      <c r="O249" s="19" t="str">
        <f t="shared" si="19"/>
        <v/>
      </c>
    </row>
    <row r="250" spans="2:15" ht="15.75" customHeight="1" x14ac:dyDescent="0.2">
      <c r="B250" s="17" t="s">
        <v>498</v>
      </c>
      <c r="C250" s="17" t="s">
        <v>499</v>
      </c>
      <c r="D250" s="19">
        <f t="shared" si="15"/>
        <v>0</v>
      </c>
      <c r="E250" s="19">
        <f t="shared" si="16"/>
        <v>0</v>
      </c>
      <c r="F250" s="4">
        <f t="shared" si="17"/>
        <v>0</v>
      </c>
      <c r="J250" s="19" t="str">
        <f t="shared" si="18"/>
        <v/>
      </c>
      <c r="O250" s="19" t="str">
        <f t="shared" si="19"/>
        <v/>
      </c>
    </row>
    <row r="251" spans="2:15" ht="15.75" customHeight="1" x14ac:dyDescent="0.2">
      <c r="B251" s="17" t="s">
        <v>500</v>
      </c>
      <c r="C251" s="17" t="s">
        <v>501</v>
      </c>
      <c r="D251" s="19">
        <f t="shared" si="15"/>
        <v>0</v>
      </c>
      <c r="E251" s="19">
        <f t="shared" si="16"/>
        <v>0</v>
      </c>
      <c r="F251" s="4">
        <f t="shared" si="17"/>
        <v>0</v>
      </c>
      <c r="J251" s="19" t="str">
        <f t="shared" si="18"/>
        <v/>
      </c>
      <c r="O251" s="19" t="str">
        <f t="shared" si="19"/>
        <v/>
      </c>
    </row>
    <row r="252" spans="2:15" ht="15.75" customHeight="1" x14ac:dyDescent="0.2">
      <c r="B252" s="17" t="s">
        <v>502</v>
      </c>
      <c r="C252" s="17" t="s">
        <v>503</v>
      </c>
      <c r="D252" s="19">
        <f t="shared" si="15"/>
        <v>0</v>
      </c>
      <c r="E252" s="19">
        <f t="shared" si="16"/>
        <v>0</v>
      </c>
      <c r="F252" s="4">
        <f t="shared" si="17"/>
        <v>0</v>
      </c>
      <c r="J252" s="19" t="str">
        <f t="shared" si="18"/>
        <v/>
      </c>
      <c r="O252" s="19" t="str">
        <f t="shared" si="19"/>
        <v/>
      </c>
    </row>
    <row r="253" spans="2:15" ht="15.75" customHeight="1" x14ac:dyDescent="0.2">
      <c r="B253" s="17" t="s">
        <v>504</v>
      </c>
      <c r="C253" s="17" t="s">
        <v>505</v>
      </c>
      <c r="D253" s="19">
        <f t="shared" si="15"/>
        <v>0</v>
      </c>
      <c r="E253" s="19">
        <f t="shared" si="16"/>
        <v>0</v>
      </c>
      <c r="F253" s="4">
        <f t="shared" si="17"/>
        <v>0</v>
      </c>
      <c r="J253" s="19" t="str">
        <f t="shared" si="18"/>
        <v/>
      </c>
      <c r="O253" s="19" t="str">
        <f t="shared" si="19"/>
        <v/>
      </c>
    </row>
    <row r="254" spans="2:15" ht="15.75" customHeight="1" x14ac:dyDescent="0.2">
      <c r="B254" s="17" t="s">
        <v>506</v>
      </c>
      <c r="C254" s="17" t="s">
        <v>507</v>
      </c>
      <c r="D254" s="19">
        <f t="shared" si="15"/>
        <v>0</v>
      </c>
      <c r="E254" s="19">
        <f t="shared" si="16"/>
        <v>0</v>
      </c>
      <c r="F254" s="4">
        <f t="shared" si="17"/>
        <v>0</v>
      </c>
      <c r="J254" s="19" t="str">
        <f t="shared" si="18"/>
        <v/>
      </c>
      <c r="O254" s="19" t="str">
        <f t="shared" si="19"/>
        <v/>
      </c>
    </row>
    <row r="255" spans="2:15" ht="15.75" customHeight="1" x14ac:dyDescent="0.2">
      <c r="B255" s="17" t="s">
        <v>508</v>
      </c>
      <c r="C255" s="17" t="s">
        <v>509</v>
      </c>
      <c r="D255" s="19">
        <f t="shared" si="15"/>
        <v>0</v>
      </c>
      <c r="E255" s="19">
        <f t="shared" si="16"/>
        <v>0</v>
      </c>
      <c r="F255" s="4">
        <f t="shared" si="17"/>
        <v>0</v>
      </c>
      <c r="J255" s="19" t="str">
        <f t="shared" si="18"/>
        <v/>
      </c>
      <c r="O255" s="19" t="str">
        <f t="shared" si="19"/>
        <v/>
      </c>
    </row>
    <row r="256" spans="2:15" ht="15.75" customHeight="1" x14ac:dyDescent="0.2">
      <c r="B256" s="17" t="s">
        <v>510</v>
      </c>
      <c r="C256" s="17" t="s">
        <v>511</v>
      </c>
      <c r="D256" s="19">
        <f t="shared" si="15"/>
        <v>0</v>
      </c>
      <c r="E256" s="19">
        <f t="shared" si="16"/>
        <v>0</v>
      </c>
      <c r="F256" s="4">
        <f t="shared" si="17"/>
        <v>0</v>
      </c>
      <c r="J256" s="19" t="str">
        <f t="shared" si="18"/>
        <v/>
      </c>
      <c r="O256" s="19" t="str">
        <f t="shared" si="19"/>
        <v/>
      </c>
    </row>
    <row r="257" spans="2:15" ht="15.75" customHeight="1" x14ac:dyDescent="0.2">
      <c r="B257" s="17" t="s">
        <v>512</v>
      </c>
      <c r="C257" s="17" t="s">
        <v>513</v>
      </c>
      <c r="D257" s="19">
        <f t="shared" si="15"/>
        <v>0</v>
      </c>
      <c r="E257" s="19">
        <f t="shared" si="16"/>
        <v>0</v>
      </c>
      <c r="F257" s="4">
        <f t="shared" si="17"/>
        <v>0</v>
      </c>
      <c r="J257" s="19" t="str">
        <f t="shared" si="18"/>
        <v/>
      </c>
      <c r="O257" s="19" t="str">
        <f t="shared" si="19"/>
        <v/>
      </c>
    </row>
    <row r="258" spans="2:15" ht="15.75" customHeight="1" x14ac:dyDescent="0.2">
      <c r="B258" s="17" t="s">
        <v>514</v>
      </c>
      <c r="C258" s="17" t="s">
        <v>515</v>
      </c>
      <c r="D258" s="19">
        <f t="shared" si="15"/>
        <v>0</v>
      </c>
      <c r="E258" s="19">
        <f t="shared" si="16"/>
        <v>0</v>
      </c>
      <c r="F258" s="4">
        <f t="shared" si="17"/>
        <v>0</v>
      </c>
      <c r="J258" s="19" t="str">
        <f t="shared" si="18"/>
        <v/>
      </c>
      <c r="O258" s="19" t="str">
        <f t="shared" si="19"/>
        <v/>
      </c>
    </row>
    <row r="259" spans="2:15" ht="15.75" customHeight="1" x14ac:dyDescent="0.2">
      <c r="B259" s="17" t="s">
        <v>516</v>
      </c>
      <c r="C259" s="17" t="s">
        <v>517</v>
      </c>
      <c r="D259" s="19">
        <f t="shared" si="15"/>
        <v>0</v>
      </c>
      <c r="E259" s="19">
        <f t="shared" si="16"/>
        <v>0</v>
      </c>
      <c r="F259" s="4">
        <f t="shared" si="17"/>
        <v>0</v>
      </c>
      <c r="J259" s="19" t="str">
        <f t="shared" si="18"/>
        <v/>
      </c>
      <c r="O259" s="19" t="str">
        <f t="shared" si="19"/>
        <v/>
      </c>
    </row>
    <row r="260" spans="2:15" ht="15.75" customHeight="1" x14ac:dyDescent="0.2">
      <c r="B260" s="17" t="s">
        <v>518</v>
      </c>
      <c r="C260" s="17" t="s">
        <v>519</v>
      </c>
      <c r="D260" s="19">
        <f t="shared" ref="D260:D287" si="20">SUMIF($I$4:$I$5000, B260, $L$4:$L$5000)</f>
        <v>0</v>
      </c>
      <c r="E260" s="19">
        <f t="shared" ref="E260:E287" si="21">SUMIF($N$4:$N$5000, B260, $Q$4:$Q$5000)</f>
        <v>0</v>
      </c>
      <c r="F260" s="4">
        <f t="shared" ref="F260:F287" si="22">D260-E260</f>
        <v>0</v>
      </c>
      <c r="J260" s="19" t="str">
        <f t="shared" ref="J260:J323" si="23">IF(I260="", "", IFERROR(VLOOKUP(I260&amp;"", $B$4:$C$5000, 2, FALSE), "NO EXISTE"))</f>
        <v/>
      </c>
      <c r="O260" s="19" t="str">
        <f t="shared" ref="O260:O323" si="24">IF(N260="", "", IFERROR(VLOOKUP(N260&amp;"", $B$4:$C$5000, 2, FALSE), "NO EXISTE"))</f>
        <v/>
      </c>
    </row>
    <row r="261" spans="2:15" ht="15.75" customHeight="1" x14ac:dyDescent="0.2">
      <c r="B261" s="17" t="s">
        <v>520</v>
      </c>
      <c r="C261" s="17" t="s">
        <v>521</v>
      </c>
      <c r="D261" s="19">
        <f t="shared" si="20"/>
        <v>0</v>
      </c>
      <c r="E261" s="19">
        <f t="shared" si="21"/>
        <v>0</v>
      </c>
      <c r="F261" s="4">
        <f t="shared" si="22"/>
        <v>0</v>
      </c>
      <c r="J261" s="19" t="str">
        <f t="shared" si="23"/>
        <v/>
      </c>
      <c r="O261" s="19" t="str">
        <f t="shared" si="24"/>
        <v/>
      </c>
    </row>
    <row r="262" spans="2:15" ht="15.75" customHeight="1" x14ac:dyDescent="0.2">
      <c r="B262" s="17" t="s">
        <v>522</v>
      </c>
      <c r="C262" s="17" t="s">
        <v>523</v>
      </c>
      <c r="D262" s="19">
        <f t="shared" si="20"/>
        <v>0</v>
      </c>
      <c r="E262" s="19">
        <f t="shared" si="21"/>
        <v>0</v>
      </c>
      <c r="F262" s="4">
        <f t="shared" si="22"/>
        <v>0</v>
      </c>
      <c r="J262" s="19" t="str">
        <f t="shared" si="23"/>
        <v/>
      </c>
      <c r="O262" s="19" t="str">
        <f t="shared" si="24"/>
        <v/>
      </c>
    </row>
    <row r="263" spans="2:15" ht="15.75" customHeight="1" x14ac:dyDescent="0.2">
      <c r="B263" s="17" t="s">
        <v>524</v>
      </c>
      <c r="C263" s="17" t="s">
        <v>525</v>
      </c>
      <c r="D263" s="19">
        <f t="shared" si="20"/>
        <v>0</v>
      </c>
      <c r="E263" s="19">
        <f t="shared" si="21"/>
        <v>0</v>
      </c>
      <c r="F263" s="4">
        <f t="shared" si="22"/>
        <v>0</v>
      </c>
      <c r="J263" s="19" t="str">
        <f t="shared" si="23"/>
        <v/>
      </c>
      <c r="O263" s="19" t="str">
        <f t="shared" si="24"/>
        <v/>
      </c>
    </row>
    <row r="264" spans="2:15" ht="15.75" customHeight="1" x14ac:dyDescent="0.2">
      <c r="B264" s="17" t="s">
        <v>526</v>
      </c>
      <c r="C264" s="17" t="s">
        <v>527</v>
      </c>
      <c r="D264" s="19">
        <f t="shared" si="20"/>
        <v>0</v>
      </c>
      <c r="E264" s="19">
        <f t="shared" si="21"/>
        <v>0</v>
      </c>
      <c r="F264" s="4">
        <f t="shared" si="22"/>
        <v>0</v>
      </c>
      <c r="J264" s="19" t="str">
        <f t="shared" si="23"/>
        <v/>
      </c>
      <c r="O264" s="19" t="str">
        <f t="shared" si="24"/>
        <v/>
      </c>
    </row>
    <row r="265" spans="2:15" ht="15.75" customHeight="1" x14ac:dyDescent="0.2">
      <c r="B265" s="17" t="s">
        <v>528</v>
      </c>
      <c r="C265" s="17" t="s">
        <v>529</v>
      </c>
      <c r="D265" s="19">
        <f t="shared" si="20"/>
        <v>0</v>
      </c>
      <c r="E265" s="19">
        <f t="shared" si="21"/>
        <v>0</v>
      </c>
      <c r="F265" s="4">
        <f t="shared" si="22"/>
        <v>0</v>
      </c>
      <c r="J265" s="19" t="str">
        <f t="shared" si="23"/>
        <v/>
      </c>
      <c r="O265" s="19" t="str">
        <f t="shared" si="24"/>
        <v/>
      </c>
    </row>
    <row r="266" spans="2:15" ht="15.75" customHeight="1" x14ac:dyDescent="0.2">
      <c r="B266" s="17" t="s">
        <v>530</v>
      </c>
      <c r="C266" s="17" t="s">
        <v>531</v>
      </c>
      <c r="D266" s="19">
        <f t="shared" si="20"/>
        <v>0</v>
      </c>
      <c r="E266" s="19">
        <f t="shared" si="21"/>
        <v>0</v>
      </c>
      <c r="F266" s="4">
        <f t="shared" si="22"/>
        <v>0</v>
      </c>
      <c r="J266" s="19" t="str">
        <f t="shared" si="23"/>
        <v/>
      </c>
      <c r="O266" s="19" t="str">
        <f t="shared" si="24"/>
        <v/>
      </c>
    </row>
    <row r="267" spans="2:15" ht="15.75" customHeight="1" x14ac:dyDescent="0.2">
      <c r="B267" s="17" t="s">
        <v>532</v>
      </c>
      <c r="C267" s="17" t="s">
        <v>533</v>
      </c>
      <c r="D267" s="19">
        <f t="shared" si="20"/>
        <v>0</v>
      </c>
      <c r="E267" s="19">
        <f t="shared" si="21"/>
        <v>0</v>
      </c>
      <c r="F267" s="4">
        <f t="shared" si="22"/>
        <v>0</v>
      </c>
      <c r="J267" s="19" t="str">
        <f t="shared" si="23"/>
        <v/>
      </c>
      <c r="O267" s="19" t="str">
        <f t="shared" si="24"/>
        <v/>
      </c>
    </row>
    <row r="268" spans="2:15" ht="15.75" customHeight="1" x14ac:dyDescent="0.2">
      <c r="B268" s="17" t="s">
        <v>534</v>
      </c>
      <c r="C268" s="17" t="s">
        <v>535</v>
      </c>
      <c r="D268" s="19">
        <f t="shared" si="20"/>
        <v>0</v>
      </c>
      <c r="E268" s="19">
        <f t="shared" si="21"/>
        <v>0</v>
      </c>
      <c r="F268" s="4">
        <f t="shared" si="22"/>
        <v>0</v>
      </c>
      <c r="J268" s="19" t="str">
        <f t="shared" si="23"/>
        <v/>
      </c>
      <c r="O268" s="19" t="str">
        <f t="shared" si="24"/>
        <v/>
      </c>
    </row>
    <row r="269" spans="2:15" ht="15.75" customHeight="1" x14ac:dyDescent="0.2">
      <c r="B269" s="17" t="s">
        <v>536</v>
      </c>
      <c r="C269" s="17" t="s">
        <v>537</v>
      </c>
      <c r="D269" s="19">
        <f t="shared" si="20"/>
        <v>0</v>
      </c>
      <c r="E269" s="19">
        <f t="shared" si="21"/>
        <v>0</v>
      </c>
      <c r="F269" s="4">
        <f t="shared" si="22"/>
        <v>0</v>
      </c>
      <c r="J269" s="19" t="str">
        <f t="shared" si="23"/>
        <v/>
      </c>
      <c r="O269" s="19" t="str">
        <f t="shared" si="24"/>
        <v/>
      </c>
    </row>
    <row r="270" spans="2:15" ht="15.75" customHeight="1" x14ac:dyDescent="0.2">
      <c r="B270" s="17" t="s">
        <v>538</v>
      </c>
      <c r="C270" s="17" t="s">
        <v>539</v>
      </c>
      <c r="D270" s="19">
        <f t="shared" si="20"/>
        <v>0</v>
      </c>
      <c r="E270" s="19">
        <f t="shared" si="21"/>
        <v>0</v>
      </c>
      <c r="F270" s="4">
        <f t="shared" si="22"/>
        <v>0</v>
      </c>
      <c r="J270" s="19" t="str">
        <f t="shared" si="23"/>
        <v/>
      </c>
      <c r="O270" s="19" t="str">
        <f t="shared" si="24"/>
        <v/>
      </c>
    </row>
    <row r="271" spans="2:15" ht="15.75" customHeight="1" x14ac:dyDescent="0.2">
      <c r="B271" s="17" t="s">
        <v>540</v>
      </c>
      <c r="C271" s="17" t="s">
        <v>541</v>
      </c>
      <c r="D271" s="19">
        <f t="shared" si="20"/>
        <v>0</v>
      </c>
      <c r="E271" s="19">
        <f t="shared" si="21"/>
        <v>0</v>
      </c>
      <c r="F271" s="4">
        <f t="shared" si="22"/>
        <v>0</v>
      </c>
      <c r="J271" s="19" t="str">
        <f t="shared" si="23"/>
        <v/>
      </c>
      <c r="O271" s="19" t="str">
        <f t="shared" si="24"/>
        <v/>
      </c>
    </row>
    <row r="272" spans="2:15" ht="15.75" customHeight="1" x14ac:dyDescent="0.2">
      <c r="B272" s="17" t="s">
        <v>542</v>
      </c>
      <c r="C272" s="17" t="s">
        <v>543</v>
      </c>
      <c r="D272" s="19">
        <f t="shared" si="20"/>
        <v>0</v>
      </c>
      <c r="E272" s="19">
        <f t="shared" si="21"/>
        <v>0</v>
      </c>
      <c r="F272" s="4">
        <f t="shared" si="22"/>
        <v>0</v>
      </c>
      <c r="J272" s="19" t="str">
        <f t="shared" si="23"/>
        <v/>
      </c>
      <c r="O272" s="19" t="str">
        <f t="shared" si="24"/>
        <v/>
      </c>
    </row>
    <row r="273" spans="2:15" ht="15.75" customHeight="1" x14ac:dyDescent="0.2">
      <c r="B273" s="17" t="s">
        <v>544</v>
      </c>
      <c r="C273" s="17" t="s">
        <v>543</v>
      </c>
      <c r="D273" s="19">
        <f t="shared" si="20"/>
        <v>0</v>
      </c>
      <c r="E273" s="19">
        <f t="shared" si="21"/>
        <v>0</v>
      </c>
      <c r="F273" s="4">
        <f t="shared" si="22"/>
        <v>0</v>
      </c>
      <c r="J273" s="19" t="str">
        <f t="shared" si="23"/>
        <v/>
      </c>
      <c r="O273" s="19" t="str">
        <f t="shared" si="24"/>
        <v/>
      </c>
    </row>
    <row r="274" spans="2:15" ht="15.75" customHeight="1" x14ac:dyDescent="0.2">
      <c r="B274" s="17" t="s">
        <v>545</v>
      </c>
      <c r="C274" s="17" t="s">
        <v>546</v>
      </c>
      <c r="D274" s="19">
        <f t="shared" si="20"/>
        <v>0</v>
      </c>
      <c r="E274" s="19">
        <f t="shared" si="21"/>
        <v>0</v>
      </c>
      <c r="F274" s="4">
        <f t="shared" si="22"/>
        <v>0</v>
      </c>
      <c r="J274" s="19" t="str">
        <f t="shared" si="23"/>
        <v/>
      </c>
      <c r="O274" s="19" t="str">
        <f t="shared" si="24"/>
        <v/>
      </c>
    </row>
    <row r="275" spans="2:15" ht="15.75" customHeight="1" x14ac:dyDescent="0.2">
      <c r="B275" s="17" t="s">
        <v>547</v>
      </c>
      <c r="C275" s="17" t="s">
        <v>548</v>
      </c>
      <c r="D275" s="19">
        <f t="shared" si="20"/>
        <v>0</v>
      </c>
      <c r="E275" s="19">
        <f t="shared" si="21"/>
        <v>0</v>
      </c>
      <c r="F275" s="4">
        <f t="shared" si="22"/>
        <v>0</v>
      </c>
      <c r="J275" s="19" t="str">
        <f t="shared" si="23"/>
        <v/>
      </c>
      <c r="O275" s="19" t="str">
        <f t="shared" si="24"/>
        <v/>
      </c>
    </row>
    <row r="276" spans="2:15" ht="15.75" customHeight="1" x14ac:dyDescent="0.2">
      <c r="B276" s="17" t="s">
        <v>549</v>
      </c>
      <c r="C276" s="17" t="s">
        <v>550</v>
      </c>
      <c r="D276" s="19">
        <f t="shared" si="20"/>
        <v>0</v>
      </c>
      <c r="E276" s="19">
        <f t="shared" si="21"/>
        <v>0</v>
      </c>
      <c r="F276" s="4">
        <f t="shared" si="22"/>
        <v>0</v>
      </c>
      <c r="J276" s="19" t="str">
        <f t="shared" si="23"/>
        <v/>
      </c>
      <c r="O276" s="19" t="str">
        <f t="shared" si="24"/>
        <v/>
      </c>
    </row>
    <row r="277" spans="2:15" ht="15.75" customHeight="1" x14ac:dyDescent="0.2">
      <c r="B277" s="17" t="s">
        <v>551</v>
      </c>
      <c r="C277" s="17" t="s">
        <v>552</v>
      </c>
      <c r="D277" s="19">
        <f t="shared" si="20"/>
        <v>0</v>
      </c>
      <c r="E277" s="19">
        <f t="shared" si="21"/>
        <v>0</v>
      </c>
      <c r="F277" s="4">
        <f t="shared" si="22"/>
        <v>0</v>
      </c>
      <c r="J277" s="19" t="str">
        <f t="shared" si="23"/>
        <v/>
      </c>
      <c r="O277" s="19" t="str">
        <f t="shared" si="24"/>
        <v/>
      </c>
    </row>
    <row r="278" spans="2:15" ht="15.75" customHeight="1" x14ac:dyDescent="0.2">
      <c r="B278" s="17" t="s">
        <v>553</v>
      </c>
      <c r="C278" s="17" t="s">
        <v>554</v>
      </c>
      <c r="D278" s="19">
        <f t="shared" si="20"/>
        <v>0</v>
      </c>
      <c r="E278" s="19">
        <f t="shared" si="21"/>
        <v>0</v>
      </c>
      <c r="F278" s="4">
        <f t="shared" si="22"/>
        <v>0</v>
      </c>
      <c r="J278" s="19" t="str">
        <f t="shared" si="23"/>
        <v/>
      </c>
      <c r="O278" s="19" t="str">
        <f t="shared" si="24"/>
        <v/>
      </c>
    </row>
    <row r="279" spans="2:15" ht="15.75" customHeight="1" x14ac:dyDescent="0.2">
      <c r="B279" s="17" t="s">
        <v>555</v>
      </c>
      <c r="C279" s="17" t="s">
        <v>556</v>
      </c>
      <c r="D279" s="19">
        <f t="shared" si="20"/>
        <v>0</v>
      </c>
      <c r="E279" s="19">
        <f t="shared" si="21"/>
        <v>0</v>
      </c>
      <c r="F279" s="4">
        <f t="shared" si="22"/>
        <v>0</v>
      </c>
      <c r="J279" s="19" t="str">
        <f t="shared" si="23"/>
        <v/>
      </c>
      <c r="O279" s="19" t="str">
        <f t="shared" si="24"/>
        <v/>
      </c>
    </row>
    <row r="280" spans="2:15" ht="15.75" customHeight="1" x14ac:dyDescent="0.2">
      <c r="B280" s="17" t="s">
        <v>557</v>
      </c>
      <c r="C280" s="17" t="s">
        <v>558</v>
      </c>
      <c r="D280" s="19">
        <f t="shared" si="20"/>
        <v>0</v>
      </c>
      <c r="E280" s="19">
        <f t="shared" si="21"/>
        <v>0</v>
      </c>
      <c r="F280" s="4">
        <f t="shared" si="22"/>
        <v>0</v>
      </c>
      <c r="J280" s="19" t="str">
        <f t="shared" si="23"/>
        <v/>
      </c>
      <c r="O280" s="19" t="str">
        <f t="shared" si="24"/>
        <v/>
      </c>
    </row>
    <row r="281" spans="2:15" ht="15.75" customHeight="1" x14ac:dyDescent="0.2">
      <c r="B281" s="17" t="s">
        <v>559</v>
      </c>
      <c r="C281" s="17" t="s">
        <v>560</v>
      </c>
      <c r="D281" s="19">
        <f t="shared" si="20"/>
        <v>0</v>
      </c>
      <c r="E281" s="19">
        <f t="shared" si="21"/>
        <v>0</v>
      </c>
      <c r="F281" s="4">
        <f t="shared" si="22"/>
        <v>0</v>
      </c>
      <c r="J281" s="19" t="str">
        <f t="shared" si="23"/>
        <v/>
      </c>
      <c r="O281" s="19" t="str">
        <f t="shared" si="24"/>
        <v/>
      </c>
    </row>
    <row r="282" spans="2:15" ht="15.75" customHeight="1" x14ac:dyDescent="0.2">
      <c r="B282" s="17" t="s">
        <v>561</v>
      </c>
      <c r="C282" s="17" t="s">
        <v>562</v>
      </c>
      <c r="D282" s="19">
        <f t="shared" si="20"/>
        <v>0</v>
      </c>
      <c r="E282" s="19">
        <f t="shared" si="21"/>
        <v>0</v>
      </c>
      <c r="F282" s="4">
        <f t="shared" si="22"/>
        <v>0</v>
      </c>
      <c r="J282" s="19" t="str">
        <f t="shared" si="23"/>
        <v/>
      </c>
      <c r="O282" s="19" t="str">
        <f t="shared" si="24"/>
        <v/>
      </c>
    </row>
    <row r="283" spans="2:15" ht="15.75" customHeight="1" x14ac:dyDescent="0.2">
      <c r="B283" s="17" t="s">
        <v>563</v>
      </c>
      <c r="C283" s="17" t="s">
        <v>564</v>
      </c>
      <c r="D283" s="19">
        <f t="shared" si="20"/>
        <v>0</v>
      </c>
      <c r="E283" s="19">
        <f t="shared" si="21"/>
        <v>0</v>
      </c>
      <c r="F283" s="4">
        <f t="shared" si="22"/>
        <v>0</v>
      </c>
      <c r="J283" s="19" t="str">
        <f t="shared" si="23"/>
        <v/>
      </c>
      <c r="O283" s="19" t="str">
        <f t="shared" si="24"/>
        <v/>
      </c>
    </row>
    <row r="284" spans="2:15" ht="15.75" customHeight="1" x14ac:dyDescent="0.2">
      <c r="B284" s="17" t="s">
        <v>565</v>
      </c>
      <c r="C284" s="17" t="s">
        <v>566</v>
      </c>
      <c r="D284" s="19">
        <f t="shared" si="20"/>
        <v>0</v>
      </c>
      <c r="E284" s="19">
        <f t="shared" si="21"/>
        <v>0</v>
      </c>
      <c r="F284" s="4">
        <f t="shared" si="22"/>
        <v>0</v>
      </c>
      <c r="J284" s="19" t="str">
        <f t="shared" si="23"/>
        <v/>
      </c>
      <c r="O284" s="19" t="str">
        <f t="shared" si="24"/>
        <v/>
      </c>
    </row>
    <row r="285" spans="2:15" ht="15.75" customHeight="1" x14ac:dyDescent="0.2">
      <c r="B285" s="18" t="s">
        <v>567</v>
      </c>
      <c r="C285" s="17"/>
      <c r="D285">
        <f t="shared" si="20"/>
        <v>0</v>
      </c>
      <c r="E285">
        <f t="shared" si="21"/>
        <v>0</v>
      </c>
      <c r="F285">
        <f t="shared" si="22"/>
        <v>0</v>
      </c>
      <c r="J285" t="str">
        <f t="shared" si="23"/>
        <v/>
      </c>
      <c r="O285" t="str">
        <f t="shared" si="24"/>
        <v/>
      </c>
    </row>
    <row r="286" spans="2:15" ht="15.75" customHeight="1" x14ac:dyDescent="0.2">
      <c r="B286" s="17"/>
      <c r="C286" s="17"/>
      <c r="D286">
        <f t="shared" si="20"/>
        <v>0</v>
      </c>
      <c r="E286">
        <f t="shared" si="21"/>
        <v>0</v>
      </c>
      <c r="F286">
        <f t="shared" si="22"/>
        <v>0</v>
      </c>
      <c r="J286" t="str">
        <f t="shared" si="23"/>
        <v/>
      </c>
      <c r="O286" t="str">
        <f t="shared" si="24"/>
        <v/>
      </c>
    </row>
    <row r="287" spans="2:15" ht="15.75" customHeight="1" x14ac:dyDescent="0.2">
      <c r="B287" s="17"/>
      <c r="C287" s="17"/>
      <c r="D287">
        <f t="shared" si="20"/>
        <v>0</v>
      </c>
      <c r="E287">
        <f t="shared" si="21"/>
        <v>0</v>
      </c>
      <c r="F287">
        <f t="shared" si="22"/>
        <v>0</v>
      </c>
      <c r="J287" t="str">
        <f t="shared" si="23"/>
        <v/>
      </c>
      <c r="O287" t="str">
        <f t="shared" si="24"/>
        <v/>
      </c>
    </row>
    <row r="288" spans="2:15" ht="12.75" x14ac:dyDescent="0.2">
      <c r="J288" t="str">
        <f t="shared" si="23"/>
        <v/>
      </c>
      <c r="O288" t="str">
        <f t="shared" si="24"/>
        <v/>
      </c>
    </row>
    <row r="289" spans="10:15" ht="12.75" x14ac:dyDescent="0.2">
      <c r="J289" t="str">
        <f t="shared" si="23"/>
        <v/>
      </c>
      <c r="O289" t="str">
        <f t="shared" si="24"/>
        <v/>
      </c>
    </row>
    <row r="290" spans="10:15" ht="12.75" x14ac:dyDescent="0.2">
      <c r="J290" t="str">
        <f t="shared" si="23"/>
        <v/>
      </c>
      <c r="O290" t="str">
        <f t="shared" si="24"/>
        <v/>
      </c>
    </row>
    <row r="291" spans="10:15" ht="12.75" x14ac:dyDescent="0.2">
      <c r="J291" t="str">
        <f t="shared" si="23"/>
        <v/>
      </c>
      <c r="O291" t="str">
        <f t="shared" si="24"/>
        <v/>
      </c>
    </row>
    <row r="292" spans="10:15" ht="12.75" x14ac:dyDescent="0.2">
      <c r="J292" t="str">
        <f t="shared" si="23"/>
        <v/>
      </c>
      <c r="O292" t="str">
        <f t="shared" si="24"/>
        <v/>
      </c>
    </row>
    <row r="293" spans="10:15" ht="12.75" x14ac:dyDescent="0.2">
      <c r="J293" t="str">
        <f t="shared" si="23"/>
        <v/>
      </c>
      <c r="O293" t="str">
        <f t="shared" si="24"/>
        <v/>
      </c>
    </row>
    <row r="294" spans="10:15" ht="12.75" x14ac:dyDescent="0.2">
      <c r="J294" t="str">
        <f t="shared" si="23"/>
        <v/>
      </c>
      <c r="O294" t="str">
        <f t="shared" si="24"/>
        <v/>
      </c>
    </row>
    <row r="295" spans="10:15" ht="12.75" x14ac:dyDescent="0.2">
      <c r="J295" t="str">
        <f t="shared" si="23"/>
        <v/>
      </c>
      <c r="O295" t="str">
        <f t="shared" si="24"/>
        <v/>
      </c>
    </row>
    <row r="296" spans="10:15" ht="12.75" x14ac:dyDescent="0.2">
      <c r="J296" t="str">
        <f t="shared" si="23"/>
        <v/>
      </c>
      <c r="O296" t="str">
        <f t="shared" si="24"/>
        <v/>
      </c>
    </row>
    <row r="297" spans="10:15" ht="12.75" x14ac:dyDescent="0.2">
      <c r="J297" t="str">
        <f t="shared" si="23"/>
        <v/>
      </c>
      <c r="O297" t="str">
        <f t="shared" si="24"/>
        <v/>
      </c>
    </row>
    <row r="298" spans="10:15" ht="12.75" x14ac:dyDescent="0.2">
      <c r="J298" t="str">
        <f t="shared" si="23"/>
        <v/>
      </c>
      <c r="O298" t="str">
        <f t="shared" si="24"/>
        <v/>
      </c>
    </row>
    <row r="299" spans="10:15" ht="12.75" x14ac:dyDescent="0.2">
      <c r="J299" t="str">
        <f t="shared" si="23"/>
        <v/>
      </c>
      <c r="O299" t="str">
        <f t="shared" si="24"/>
        <v/>
      </c>
    </row>
    <row r="300" spans="10:15" ht="12.75" x14ac:dyDescent="0.2">
      <c r="J300" t="str">
        <f t="shared" si="23"/>
        <v/>
      </c>
      <c r="O300" t="str">
        <f t="shared" si="24"/>
        <v/>
      </c>
    </row>
    <row r="301" spans="10:15" ht="12.75" x14ac:dyDescent="0.2">
      <c r="J301" t="str">
        <f t="shared" si="23"/>
        <v/>
      </c>
      <c r="O301" t="str">
        <f t="shared" si="24"/>
        <v/>
      </c>
    </row>
    <row r="302" spans="10:15" ht="12.75" x14ac:dyDescent="0.2">
      <c r="J302" t="str">
        <f t="shared" si="23"/>
        <v/>
      </c>
      <c r="O302" t="str">
        <f t="shared" si="24"/>
        <v/>
      </c>
    </row>
    <row r="303" spans="10:15" ht="12.75" x14ac:dyDescent="0.2">
      <c r="J303" t="str">
        <f t="shared" si="23"/>
        <v/>
      </c>
      <c r="O303" t="str">
        <f t="shared" si="24"/>
        <v/>
      </c>
    </row>
    <row r="304" spans="10:15" ht="12.75" x14ac:dyDescent="0.2">
      <c r="J304" t="str">
        <f t="shared" si="23"/>
        <v/>
      </c>
      <c r="O304" t="str">
        <f t="shared" si="24"/>
        <v/>
      </c>
    </row>
    <row r="305" spans="10:15" ht="12.75" x14ac:dyDescent="0.2">
      <c r="J305" t="str">
        <f t="shared" si="23"/>
        <v/>
      </c>
      <c r="O305" t="str">
        <f t="shared" si="24"/>
        <v/>
      </c>
    </row>
    <row r="306" spans="10:15" ht="12.75" x14ac:dyDescent="0.2">
      <c r="J306" t="str">
        <f t="shared" si="23"/>
        <v/>
      </c>
      <c r="O306" t="str">
        <f t="shared" si="24"/>
        <v/>
      </c>
    </row>
    <row r="307" spans="10:15" ht="12.75" x14ac:dyDescent="0.2">
      <c r="J307" t="str">
        <f t="shared" si="23"/>
        <v/>
      </c>
      <c r="O307" t="str">
        <f t="shared" si="24"/>
        <v/>
      </c>
    </row>
    <row r="308" spans="10:15" ht="12.75" x14ac:dyDescent="0.2">
      <c r="J308" t="str">
        <f t="shared" si="23"/>
        <v/>
      </c>
      <c r="O308" t="str">
        <f t="shared" si="24"/>
        <v/>
      </c>
    </row>
    <row r="309" spans="10:15" ht="12.75" x14ac:dyDescent="0.2">
      <c r="J309" t="str">
        <f t="shared" si="23"/>
        <v/>
      </c>
      <c r="O309" t="str">
        <f t="shared" si="24"/>
        <v/>
      </c>
    </row>
    <row r="310" spans="10:15" ht="12.75" x14ac:dyDescent="0.2">
      <c r="J310" t="str">
        <f t="shared" si="23"/>
        <v/>
      </c>
      <c r="O310" t="str">
        <f t="shared" si="24"/>
        <v/>
      </c>
    </row>
    <row r="311" spans="10:15" ht="12.75" x14ac:dyDescent="0.2">
      <c r="J311" t="str">
        <f t="shared" si="23"/>
        <v/>
      </c>
      <c r="O311" t="str">
        <f t="shared" si="24"/>
        <v/>
      </c>
    </row>
    <row r="312" spans="10:15" ht="12.75" x14ac:dyDescent="0.2">
      <c r="J312" t="str">
        <f t="shared" si="23"/>
        <v/>
      </c>
      <c r="O312" t="str">
        <f t="shared" si="24"/>
        <v/>
      </c>
    </row>
    <row r="313" spans="10:15" ht="12.75" x14ac:dyDescent="0.2">
      <c r="J313" t="str">
        <f t="shared" si="23"/>
        <v/>
      </c>
      <c r="O313" t="str">
        <f t="shared" si="24"/>
        <v/>
      </c>
    </row>
    <row r="314" spans="10:15" ht="12.75" x14ac:dyDescent="0.2">
      <c r="J314" t="str">
        <f t="shared" si="23"/>
        <v/>
      </c>
      <c r="O314" t="str">
        <f t="shared" si="24"/>
        <v/>
      </c>
    </row>
    <row r="315" spans="10:15" ht="12.75" x14ac:dyDescent="0.2">
      <c r="J315" t="str">
        <f t="shared" si="23"/>
        <v/>
      </c>
      <c r="O315" t="str">
        <f t="shared" si="24"/>
        <v/>
      </c>
    </row>
    <row r="316" spans="10:15" ht="12.75" x14ac:dyDescent="0.2">
      <c r="J316" t="str">
        <f t="shared" si="23"/>
        <v/>
      </c>
      <c r="O316" t="str">
        <f t="shared" si="24"/>
        <v/>
      </c>
    </row>
    <row r="317" spans="10:15" ht="12.75" x14ac:dyDescent="0.2">
      <c r="J317" t="str">
        <f t="shared" si="23"/>
        <v/>
      </c>
      <c r="O317" t="str">
        <f t="shared" si="24"/>
        <v/>
      </c>
    </row>
    <row r="318" spans="10:15" ht="12.75" x14ac:dyDescent="0.2">
      <c r="J318" t="str">
        <f t="shared" si="23"/>
        <v/>
      </c>
      <c r="O318" t="str">
        <f t="shared" si="24"/>
        <v/>
      </c>
    </row>
    <row r="319" spans="10:15" ht="12.75" x14ac:dyDescent="0.2">
      <c r="J319" t="str">
        <f t="shared" si="23"/>
        <v/>
      </c>
      <c r="O319" t="str">
        <f t="shared" si="24"/>
        <v/>
      </c>
    </row>
    <row r="320" spans="10:15" ht="12.75" x14ac:dyDescent="0.2">
      <c r="J320" t="str">
        <f t="shared" si="23"/>
        <v/>
      </c>
      <c r="O320" t="str">
        <f t="shared" si="24"/>
        <v/>
      </c>
    </row>
    <row r="321" spans="10:15" ht="12.75" x14ac:dyDescent="0.2">
      <c r="J321" t="str">
        <f t="shared" si="23"/>
        <v/>
      </c>
      <c r="O321" t="str">
        <f t="shared" si="24"/>
        <v/>
      </c>
    </row>
    <row r="322" spans="10:15" ht="12.75" x14ac:dyDescent="0.2">
      <c r="J322" t="str">
        <f t="shared" si="23"/>
        <v/>
      </c>
      <c r="O322" t="str">
        <f t="shared" si="24"/>
        <v/>
      </c>
    </row>
    <row r="323" spans="10:15" ht="12.75" x14ac:dyDescent="0.2">
      <c r="J323" t="str">
        <f t="shared" si="23"/>
        <v/>
      </c>
      <c r="O323" t="str">
        <f t="shared" si="24"/>
        <v/>
      </c>
    </row>
    <row r="324" spans="10:15" ht="12.75" x14ac:dyDescent="0.2">
      <c r="J324" t="str">
        <f t="shared" ref="J324:J387" si="25">IF(I324="", "", IFERROR(VLOOKUP(I324&amp;"", $B$4:$C$5000, 2, FALSE), "NO EXISTE"))</f>
        <v/>
      </c>
      <c r="O324" t="str">
        <f t="shared" ref="O324:O387" si="26">IF(N324="", "", IFERROR(VLOOKUP(N324&amp;"", $B$4:$C$5000, 2, FALSE), "NO EXISTE"))</f>
        <v/>
      </c>
    </row>
    <row r="325" spans="10:15" ht="12.75" x14ac:dyDescent="0.2">
      <c r="J325" t="str">
        <f t="shared" si="25"/>
        <v/>
      </c>
      <c r="O325" t="str">
        <f t="shared" si="26"/>
        <v/>
      </c>
    </row>
    <row r="326" spans="10:15" ht="12.75" x14ac:dyDescent="0.2">
      <c r="J326" t="str">
        <f t="shared" si="25"/>
        <v/>
      </c>
      <c r="O326" t="str">
        <f t="shared" si="26"/>
        <v/>
      </c>
    </row>
    <row r="327" spans="10:15" ht="12.75" x14ac:dyDescent="0.2">
      <c r="J327" t="str">
        <f t="shared" si="25"/>
        <v/>
      </c>
      <c r="O327" t="str">
        <f t="shared" si="26"/>
        <v/>
      </c>
    </row>
    <row r="328" spans="10:15" ht="12.75" x14ac:dyDescent="0.2">
      <c r="J328" t="str">
        <f t="shared" si="25"/>
        <v/>
      </c>
      <c r="O328" t="str">
        <f t="shared" si="26"/>
        <v/>
      </c>
    </row>
    <row r="329" spans="10:15" ht="12.75" x14ac:dyDescent="0.2">
      <c r="J329" t="str">
        <f t="shared" si="25"/>
        <v/>
      </c>
      <c r="O329" t="str">
        <f t="shared" si="26"/>
        <v/>
      </c>
    </row>
    <row r="330" spans="10:15" ht="12.75" x14ac:dyDescent="0.2">
      <c r="J330" t="str">
        <f t="shared" si="25"/>
        <v/>
      </c>
      <c r="O330" t="str">
        <f t="shared" si="26"/>
        <v/>
      </c>
    </row>
    <row r="331" spans="10:15" ht="12.75" x14ac:dyDescent="0.2">
      <c r="J331" t="str">
        <f t="shared" si="25"/>
        <v/>
      </c>
      <c r="O331" t="str">
        <f t="shared" si="26"/>
        <v/>
      </c>
    </row>
    <row r="332" spans="10:15" ht="12.75" x14ac:dyDescent="0.2">
      <c r="J332" t="str">
        <f t="shared" si="25"/>
        <v/>
      </c>
      <c r="O332" t="str">
        <f t="shared" si="26"/>
        <v/>
      </c>
    </row>
    <row r="333" spans="10:15" ht="12.75" x14ac:dyDescent="0.2">
      <c r="J333" t="str">
        <f t="shared" si="25"/>
        <v/>
      </c>
      <c r="O333" t="str">
        <f t="shared" si="26"/>
        <v/>
      </c>
    </row>
    <row r="334" spans="10:15" ht="12.75" x14ac:dyDescent="0.2">
      <c r="J334" t="str">
        <f t="shared" si="25"/>
        <v/>
      </c>
      <c r="O334" t="str">
        <f t="shared" si="26"/>
        <v/>
      </c>
    </row>
    <row r="335" spans="10:15" ht="12.75" x14ac:dyDescent="0.2">
      <c r="J335" t="str">
        <f t="shared" si="25"/>
        <v/>
      </c>
      <c r="O335" t="str">
        <f t="shared" si="26"/>
        <v/>
      </c>
    </row>
    <row r="336" spans="10:15" ht="12.75" x14ac:dyDescent="0.2">
      <c r="J336" t="str">
        <f t="shared" si="25"/>
        <v/>
      </c>
      <c r="O336" t="str">
        <f t="shared" si="26"/>
        <v/>
      </c>
    </row>
    <row r="337" spans="10:15" ht="12.75" x14ac:dyDescent="0.2">
      <c r="J337" t="str">
        <f t="shared" si="25"/>
        <v/>
      </c>
      <c r="O337" t="str">
        <f t="shared" si="26"/>
        <v/>
      </c>
    </row>
    <row r="338" spans="10:15" ht="12.75" x14ac:dyDescent="0.2">
      <c r="J338" t="str">
        <f t="shared" si="25"/>
        <v/>
      </c>
      <c r="O338" t="str">
        <f t="shared" si="26"/>
        <v/>
      </c>
    </row>
    <row r="339" spans="10:15" ht="12.75" x14ac:dyDescent="0.2">
      <c r="J339" t="str">
        <f t="shared" si="25"/>
        <v/>
      </c>
      <c r="O339" t="str">
        <f t="shared" si="26"/>
        <v/>
      </c>
    </row>
    <row r="340" spans="10:15" ht="12.75" x14ac:dyDescent="0.2">
      <c r="J340" t="str">
        <f t="shared" si="25"/>
        <v/>
      </c>
      <c r="O340" t="str">
        <f t="shared" si="26"/>
        <v/>
      </c>
    </row>
    <row r="341" spans="10:15" ht="12.75" x14ac:dyDescent="0.2">
      <c r="J341" t="str">
        <f t="shared" si="25"/>
        <v/>
      </c>
      <c r="O341" t="str">
        <f t="shared" si="26"/>
        <v/>
      </c>
    </row>
    <row r="342" spans="10:15" ht="12.75" x14ac:dyDescent="0.2">
      <c r="J342" t="str">
        <f t="shared" si="25"/>
        <v/>
      </c>
      <c r="O342" t="str">
        <f t="shared" si="26"/>
        <v/>
      </c>
    </row>
    <row r="343" spans="10:15" ht="12.75" x14ac:dyDescent="0.2">
      <c r="J343" t="str">
        <f t="shared" si="25"/>
        <v/>
      </c>
      <c r="O343" t="str">
        <f t="shared" si="26"/>
        <v/>
      </c>
    </row>
    <row r="344" spans="10:15" ht="12.75" x14ac:dyDescent="0.2">
      <c r="J344" t="str">
        <f t="shared" si="25"/>
        <v/>
      </c>
      <c r="O344" t="str">
        <f t="shared" si="26"/>
        <v/>
      </c>
    </row>
    <row r="345" spans="10:15" ht="12.75" x14ac:dyDescent="0.2">
      <c r="J345" t="str">
        <f t="shared" si="25"/>
        <v/>
      </c>
      <c r="O345" t="str">
        <f t="shared" si="26"/>
        <v/>
      </c>
    </row>
    <row r="346" spans="10:15" ht="12.75" x14ac:dyDescent="0.2">
      <c r="J346" t="str">
        <f t="shared" si="25"/>
        <v/>
      </c>
      <c r="O346" t="str">
        <f t="shared" si="26"/>
        <v/>
      </c>
    </row>
    <row r="347" spans="10:15" ht="12.75" x14ac:dyDescent="0.2">
      <c r="J347" t="str">
        <f t="shared" si="25"/>
        <v/>
      </c>
      <c r="O347" t="str">
        <f t="shared" si="26"/>
        <v/>
      </c>
    </row>
    <row r="348" spans="10:15" ht="12.75" x14ac:dyDescent="0.2">
      <c r="J348" t="str">
        <f t="shared" si="25"/>
        <v/>
      </c>
      <c r="O348" t="str">
        <f t="shared" si="26"/>
        <v/>
      </c>
    </row>
    <row r="349" spans="10:15" ht="12.75" x14ac:dyDescent="0.2">
      <c r="J349" t="str">
        <f t="shared" si="25"/>
        <v/>
      </c>
      <c r="O349" t="str">
        <f t="shared" si="26"/>
        <v/>
      </c>
    </row>
    <row r="350" spans="10:15" ht="12.75" x14ac:dyDescent="0.2">
      <c r="J350" t="str">
        <f t="shared" si="25"/>
        <v/>
      </c>
      <c r="O350" t="str">
        <f t="shared" si="26"/>
        <v/>
      </c>
    </row>
    <row r="351" spans="10:15" ht="12.75" x14ac:dyDescent="0.2">
      <c r="J351" t="str">
        <f t="shared" si="25"/>
        <v/>
      </c>
      <c r="O351" t="str">
        <f t="shared" si="26"/>
        <v/>
      </c>
    </row>
    <row r="352" spans="10:15" ht="12.75" x14ac:dyDescent="0.2">
      <c r="J352" t="str">
        <f t="shared" si="25"/>
        <v/>
      </c>
      <c r="O352" t="str">
        <f t="shared" si="26"/>
        <v/>
      </c>
    </row>
    <row r="353" spans="10:15" ht="12.75" x14ac:dyDescent="0.2">
      <c r="J353" t="str">
        <f t="shared" si="25"/>
        <v/>
      </c>
      <c r="O353" t="str">
        <f t="shared" si="26"/>
        <v/>
      </c>
    </row>
    <row r="354" spans="10:15" ht="12.75" x14ac:dyDescent="0.2">
      <c r="J354" t="str">
        <f t="shared" si="25"/>
        <v/>
      </c>
      <c r="O354" t="str">
        <f t="shared" si="26"/>
        <v/>
      </c>
    </row>
    <row r="355" spans="10:15" ht="12.75" x14ac:dyDescent="0.2">
      <c r="J355" t="str">
        <f t="shared" si="25"/>
        <v/>
      </c>
      <c r="O355" t="str">
        <f t="shared" si="26"/>
        <v/>
      </c>
    </row>
    <row r="356" spans="10:15" ht="12.75" x14ac:dyDescent="0.2">
      <c r="J356" t="str">
        <f t="shared" si="25"/>
        <v/>
      </c>
      <c r="O356" t="str">
        <f t="shared" si="26"/>
        <v/>
      </c>
    </row>
    <row r="357" spans="10:15" ht="12.75" x14ac:dyDescent="0.2">
      <c r="J357" t="str">
        <f t="shared" si="25"/>
        <v/>
      </c>
      <c r="O357" t="str">
        <f t="shared" si="26"/>
        <v/>
      </c>
    </row>
    <row r="358" spans="10:15" ht="12.75" x14ac:dyDescent="0.2">
      <c r="J358" t="str">
        <f t="shared" si="25"/>
        <v/>
      </c>
      <c r="O358" t="str">
        <f t="shared" si="26"/>
        <v/>
      </c>
    </row>
    <row r="359" spans="10:15" ht="12.75" x14ac:dyDescent="0.2">
      <c r="J359" t="str">
        <f t="shared" si="25"/>
        <v/>
      </c>
      <c r="O359" t="str">
        <f t="shared" si="26"/>
        <v/>
      </c>
    </row>
    <row r="360" spans="10:15" ht="12.75" x14ac:dyDescent="0.2">
      <c r="J360" t="str">
        <f t="shared" si="25"/>
        <v/>
      </c>
      <c r="O360" t="str">
        <f t="shared" si="26"/>
        <v/>
      </c>
    </row>
    <row r="361" spans="10:15" ht="12.75" x14ac:dyDescent="0.2">
      <c r="J361" t="str">
        <f t="shared" si="25"/>
        <v/>
      </c>
      <c r="O361" t="str">
        <f t="shared" si="26"/>
        <v/>
      </c>
    </row>
    <row r="362" spans="10:15" ht="12.75" x14ac:dyDescent="0.2">
      <c r="J362" t="str">
        <f t="shared" si="25"/>
        <v/>
      </c>
      <c r="O362" t="str">
        <f t="shared" si="26"/>
        <v/>
      </c>
    </row>
    <row r="363" spans="10:15" ht="12.75" x14ac:dyDescent="0.2">
      <c r="J363" t="str">
        <f t="shared" si="25"/>
        <v/>
      </c>
      <c r="O363" t="str">
        <f t="shared" si="26"/>
        <v/>
      </c>
    </row>
    <row r="364" spans="10:15" ht="12.75" x14ac:dyDescent="0.2">
      <c r="J364" t="str">
        <f t="shared" si="25"/>
        <v/>
      </c>
      <c r="O364" t="str">
        <f t="shared" si="26"/>
        <v/>
      </c>
    </row>
    <row r="365" spans="10:15" ht="12.75" x14ac:dyDescent="0.2">
      <c r="J365" t="str">
        <f t="shared" si="25"/>
        <v/>
      </c>
      <c r="O365" t="str">
        <f t="shared" si="26"/>
        <v/>
      </c>
    </row>
    <row r="366" spans="10:15" ht="12.75" x14ac:dyDescent="0.2">
      <c r="J366" t="str">
        <f t="shared" si="25"/>
        <v/>
      </c>
      <c r="O366" t="str">
        <f t="shared" si="26"/>
        <v/>
      </c>
    </row>
    <row r="367" spans="10:15" ht="12.75" x14ac:dyDescent="0.2">
      <c r="J367" t="str">
        <f t="shared" si="25"/>
        <v/>
      </c>
      <c r="O367" t="str">
        <f t="shared" si="26"/>
        <v/>
      </c>
    </row>
    <row r="368" spans="10:15" ht="12.75" x14ac:dyDescent="0.2">
      <c r="J368" t="str">
        <f t="shared" si="25"/>
        <v/>
      </c>
      <c r="O368" t="str">
        <f t="shared" si="26"/>
        <v/>
      </c>
    </row>
    <row r="369" spans="10:15" ht="12.75" x14ac:dyDescent="0.2">
      <c r="J369" t="str">
        <f t="shared" si="25"/>
        <v/>
      </c>
      <c r="O369" t="str">
        <f t="shared" si="26"/>
        <v/>
      </c>
    </row>
    <row r="370" spans="10:15" ht="12.75" x14ac:dyDescent="0.2">
      <c r="J370" t="str">
        <f t="shared" si="25"/>
        <v/>
      </c>
      <c r="O370" t="str">
        <f t="shared" si="26"/>
        <v/>
      </c>
    </row>
    <row r="371" spans="10:15" ht="12.75" x14ac:dyDescent="0.2">
      <c r="J371" t="str">
        <f t="shared" si="25"/>
        <v/>
      </c>
      <c r="O371" t="str">
        <f t="shared" si="26"/>
        <v/>
      </c>
    </row>
    <row r="372" spans="10:15" ht="12.75" x14ac:dyDescent="0.2">
      <c r="J372" t="str">
        <f t="shared" si="25"/>
        <v/>
      </c>
      <c r="O372" t="str">
        <f t="shared" si="26"/>
        <v/>
      </c>
    </row>
    <row r="373" spans="10:15" ht="12.75" x14ac:dyDescent="0.2">
      <c r="J373" t="str">
        <f t="shared" si="25"/>
        <v/>
      </c>
      <c r="O373" t="str">
        <f t="shared" si="26"/>
        <v/>
      </c>
    </row>
    <row r="374" spans="10:15" ht="12.75" x14ac:dyDescent="0.2">
      <c r="J374" t="str">
        <f t="shared" si="25"/>
        <v/>
      </c>
      <c r="O374" t="str">
        <f t="shared" si="26"/>
        <v/>
      </c>
    </row>
    <row r="375" spans="10:15" ht="12.75" x14ac:dyDescent="0.2">
      <c r="J375" t="str">
        <f t="shared" si="25"/>
        <v/>
      </c>
      <c r="O375" t="str">
        <f t="shared" si="26"/>
        <v/>
      </c>
    </row>
    <row r="376" spans="10:15" ht="12.75" x14ac:dyDescent="0.2">
      <c r="J376" t="str">
        <f t="shared" si="25"/>
        <v/>
      </c>
      <c r="O376" t="str">
        <f t="shared" si="26"/>
        <v/>
      </c>
    </row>
    <row r="377" spans="10:15" ht="12.75" x14ac:dyDescent="0.2">
      <c r="J377" t="str">
        <f t="shared" si="25"/>
        <v/>
      </c>
      <c r="O377" t="str">
        <f t="shared" si="26"/>
        <v/>
      </c>
    </row>
    <row r="378" spans="10:15" ht="12.75" x14ac:dyDescent="0.2">
      <c r="J378" t="str">
        <f t="shared" si="25"/>
        <v/>
      </c>
      <c r="O378" t="str">
        <f t="shared" si="26"/>
        <v/>
      </c>
    </row>
    <row r="379" spans="10:15" ht="12.75" x14ac:dyDescent="0.2">
      <c r="J379" t="str">
        <f t="shared" si="25"/>
        <v/>
      </c>
      <c r="O379" t="str">
        <f t="shared" si="26"/>
        <v/>
      </c>
    </row>
    <row r="380" spans="10:15" ht="12.75" x14ac:dyDescent="0.2">
      <c r="J380" t="str">
        <f t="shared" si="25"/>
        <v/>
      </c>
      <c r="O380" t="str">
        <f t="shared" si="26"/>
        <v/>
      </c>
    </row>
    <row r="381" spans="10:15" ht="12.75" x14ac:dyDescent="0.2">
      <c r="J381" t="str">
        <f t="shared" si="25"/>
        <v/>
      </c>
      <c r="O381" t="str">
        <f t="shared" si="26"/>
        <v/>
      </c>
    </row>
    <row r="382" spans="10:15" ht="12.75" x14ac:dyDescent="0.2">
      <c r="J382" t="str">
        <f t="shared" si="25"/>
        <v/>
      </c>
      <c r="O382" t="str">
        <f t="shared" si="26"/>
        <v/>
      </c>
    </row>
    <row r="383" spans="10:15" ht="12.75" x14ac:dyDescent="0.2">
      <c r="J383" t="str">
        <f t="shared" si="25"/>
        <v/>
      </c>
      <c r="O383" t="str">
        <f t="shared" si="26"/>
        <v/>
      </c>
    </row>
    <row r="384" spans="10:15" ht="12.75" x14ac:dyDescent="0.2">
      <c r="J384" t="str">
        <f t="shared" si="25"/>
        <v/>
      </c>
      <c r="O384" t="str">
        <f t="shared" si="26"/>
        <v/>
      </c>
    </row>
    <row r="385" spans="10:15" ht="12.75" x14ac:dyDescent="0.2">
      <c r="J385" t="str">
        <f t="shared" si="25"/>
        <v/>
      </c>
      <c r="O385" t="str">
        <f t="shared" si="26"/>
        <v/>
      </c>
    </row>
    <row r="386" spans="10:15" ht="12.75" x14ac:dyDescent="0.2">
      <c r="J386" t="str">
        <f t="shared" si="25"/>
        <v/>
      </c>
      <c r="O386" t="str">
        <f t="shared" si="26"/>
        <v/>
      </c>
    </row>
    <row r="387" spans="10:15" ht="12.75" x14ac:dyDescent="0.2">
      <c r="J387" t="str">
        <f t="shared" si="25"/>
        <v/>
      </c>
      <c r="O387" t="str">
        <f t="shared" si="26"/>
        <v/>
      </c>
    </row>
    <row r="388" spans="10:15" ht="12.75" x14ac:dyDescent="0.2">
      <c r="J388" t="str">
        <f t="shared" ref="J388:J451" si="27">IF(I388="", "", IFERROR(VLOOKUP(I388&amp;"", $B$4:$C$5000, 2, FALSE), "NO EXISTE"))</f>
        <v/>
      </c>
      <c r="O388" t="str">
        <f t="shared" ref="O388:O451" si="28">IF(N388="", "", IFERROR(VLOOKUP(N388&amp;"", $B$4:$C$5000, 2, FALSE), "NO EXISTE"))</f>
        <v/>
      </c>
    </row>
    <row r="389" spans="10:15" ht="12.75" x14ac:dyDescent="0.2">
      <c r="J389" t="str">
        <f t="shared" si="27"/>
        <v/>
      </c>
      <c r="O389" t="str">
        <f t="shared" si="28"/>
        <v/>
      </c>
    </row>
    <row r="390" spans="10:15" ht="12.75" x14ac:dyDescent="0.2">
      <c r="J390" t="str">
        <f t="shared" si="27"/>
        <v/>
      </c>
      <c r="O390" t="str">
        <f t="shared" si="28"/>
        <v/>
      </c>
    </row>
    <row r="391" spans="10:15" ht="12.75" x14ac:dyDescent="0.2">
      <c r="J391" t="str">
        <f t="shared" si="27"/>
        <v/>
      </c>
      <c r="O391" t="str">
        <f t="shared" si="28"/>
        <v/>
      </c>
    </row>
    <row r="392" spans="10:15" ht="12.75" x14ac:dyDescent="0.2">
      <c r="J392" t="str">
        <f t="shared" si="27"/>
        <v/>
      </c>
      <c r="O392" t="str">
        <f t="shared" si="28"/>
        <v/>
      </c>
    </row>
    <row r="393" spans="10:15" ht="12.75" x14ac:dyDescent="0.2">
      <c r="J393" t="str">
        <f t="shared" si="27"/>
        <v/>
      </c>
      <c r="O393" t="str">
        <f t="shared" si="28"/>
        <v/>
      </c>
    </row>
    <row r="394" spans="10:15" ht="12.75" x14ac:dyDescent="0.2">
      <c r="J394" t="str">
        <f t="shared" si="27"/>
        <v/>
      </c>
      <c r="O394" t="str">
        <f t="shared" si="28"/>
        <v/>
      </c>
    </row>
    <row r="395" spans="10:15" ht="12.75" x14ac:dyDescent="0.2">
      <c r="J395" t="str">
        <f t="shared" si="27"/>
        <v/>
      </c>
      <c r="O395" t="str">
        <f t="shared" si="28"/>
        <v/>
      </c>
    </row>
    <row r="396" spans="10:15" ht="12.75" x14ac:dyDescent="0.2">
      <c r="J396" t="str">
        <f t="shared" si="27"/>
        <v/>
      </c>
      <c r="O396" t="str">
        <f t="shared" si="28"/>
        <v/>
      </c>
    </row>
    <row r="397" spans="10:15" ht="12.75" x14ac:dyDescent="0.2">
      <c r="J397" t="str">
        <f t="shared" si="27"/>
        <v/>
      </c>
      <c r="O397" t="str">
        <f t="shared" si="28"/>
        <v/>
      </c>
    </row>
    <row r="398" spans="10:15" ht="12.75" x14ac:dyDescent="0.2">
      <c r="J398" t="str">
        <f t="shared" si="27"/>
        <v/>
      </c>
      <c r="O398" t="str">
        <f t="shared" si="28"/>
        <v/>
      </c>
    </row>
    <row r="399" spans="10:15" ht="12.75" x14ac:dyDescent="0.2">
      <c r="J399" t="str">
        <f t="shared" si="27"/>
        <v/>
      </c>
      <c r="O399" t="str">
        <f t="shared" si="28"/>
        <v/>
      </c>
    </row>
    <row r="400" spans="10:15" ht="12.75" x14ac:dyDescent="0.2">
      <c r="J400" t="str">
        <f t="shared" si="27"/>
        <v/>
      </c>
      <c r="O400" t="str">
        <f t="shared" si="28"/>
        <v/>
      </c>
    </row>
    <row r="401" spans="10:15" ht="12.75" x14ac:dyDescent="0.2">
      <c r="J401" t="str">
        <f t="shared" si="27"/>
        <v/>
      </c>
      <c r="O401" t="str">
        <f t="shared" si="28"/>
        <v/>
      </c>
    </row>
    <row r="402" spans="10:15" ht="12.75" x14ac:dyDescent="0.2">
      <c r="J402" t="str">
        <f t="shared" si="27"/>
        <v/>
      </c>
      <c r="O402" t="str">
        <f t="shared" si="28"/>
        <v/>
      </c>
    </row>
    <row r="403" spans="10:15" ht="12.75" x14ac:dyDescent="0.2">
      <c r="J403" t="str">
        <f t="shared" si="27"/>
        <v/>
      </c>
      <c r="O403" t="str">
        <f t="shared" si="28"/>
        <v/>
      </c>
    </row>
    <row r="404" spans="10:15" ht="12.75" x14ac:dyDescent="0.2">
      <c r="J404" t="str">
        <f t="shared" si="27"/>
        <v/>
      </c>
      <c r="O404" t="str">
        <f t="shared" si="28"/>
        <v/>
      </c>
    </row>
    <row r="405" spans="10:15" ht="12.75" x14ac:dyDescent="0.2">
      <c r="J405" t="str">
        <f t="shared" si="27"/>
        <v/>
      </c>
      <c r="O405" t="str">
        <f t="shared" si="28"/>
        <v/>
      </c>
    </row>
    <row r="406" spans="10:15" ht="12.75" x14ac:dyDescent="0.2">
      <c r="J406" t="str">
        <f t="shared" si="27"/>
        <v/>
      </c>
      <c r="O406" t="str">
        <f t="shared" si="28"/>
        <v/>
      </c>
    </row>
    <row r="407" spans="10:15" ht="12.75" x14ac:dyDescent="0.2">
      <c r="J407" t="str">
        <f t="shared" si="27"/>
        <v/>
      </c>
      <c r="O407" t="str">
        <f t="shared" si="28"/>
        <v/>
      </c>
    </row>
    <row r="408" spans="10:15" ht="12.75" x14ac:dyDescent="0.2">
      <c r="J408" t="str">
        <f t="shared" si="27"/>
        <v/>
      </c>
      <c r="O408" t="str">
        <f t="shared" si="28"/>
        <v/>
      </c>
    </row>
    <row r="409" spans="10:15" ht="12.75" x14ac:dyDescent="0.2">
      <c r="J409" t="str">
        <f t="shared" si="27"/>
        <v/>
      </c>
      <c r="O409" t="str">
        <f t="shared" si="28"/>
        <v/>
      </c>
    </row>
    <row r="410" spans="10:15" ht="12.75" x14ac:dyDescent="0.2">
      <c r="J410" t="str">
        <f t="shared" si="27"/>
        <v/>
      </c>
      <c r="O410" t="str">
        <f t="shared" si="28"/>
        <v/>
      </c>
    </row>
    <row r="411" spans="10:15" ht="12.75" x14ac:dyDescent="0.2">
      <c r="J411" t="str">
        <f t="shared" si="27"/>
        <v/>
      </c>
      <c r="O411" t="str">
        <f t="shared" si="28"/>
        <v/>
      </c>
    </row>
    <row r="412" spans="10:15" ht="12.75" x14ac:dyDescent="0.2">
      <c r="J412" t="str">
        <f t="shared" si="27"/>
        <v/>
      </c>
      <c r="O412" t="str">
        <f t="shared" si="28"/>
        <v/>
      </c>
    </row>
    <row r="413" spans="10:15" ht="12.75" x14ac:dyDescent="0.2">
      <c r="J413" t="str">
        <f t="shared" si="27"/>
        <v/>
      </c>
      <c r="O413" t="str">
        <f t="shared" si="28"/>
        <v/>
      </c>
    </row>
    <row r="414" spans="10:15" ht="12.75" x14ac:dyDescent="0.2">
      <c r="J414" t="str">
        <f t="shared" si="27"/>
        <v/>
      </c>
      <c r="O414" t="str">
        <f t="shared" si="28"/>
        <v/>
      </c>
    </row>
    <row r="415" spans="10:15" ht="12.75" x14ac:dyDescent="0.2">
      <c r="J415" t="str">
        <f t="shared" si="27"/>
        <v/>
      </c>
      <c r="O415" t="str">
        <f t="shared" si="28"/>
        <v/>
      </c>
    </row>
    <row r="416" spans="10:15" ht="12.75" x14ac:dyDescent="0.2">
      <c r="J416" t="str">
        <f t="shared" si="27"/>
        <v/>
      </c>
      <c r="O416" t="str">
        <f t="shared" si="28"/>
        <v/>
      </c>
    </row>
    <row r="417" spans="10:15" ht="12.75" x14ac:dyDescent="0.2">
      <c r="J417" t="str">
        <f t="shared" si="27"/>
        <v/>
      </c>
      <c r="O417" t="str">
        <f t="shared" si="28"/>
        <v/>
      </c>
    </row>
    <row r="418" spans="10:15" ht="12.75" x14ac:dyDescent="0.2">
      <c r="J418" t="str">
        <f t="shared" si="27"/>
        <v/>
      </c>
      <c r="O418" t="str">
        <f t="shared" si="28"/>
        <v/>
      </c>
    </row>
    <row r="419" spans="10:15" ht="12.75" x14ac:dyDescent="0.2">
      <c r="J419" t="str">
        <f t="shared" si="27"/>
        <v/>
      </c>
      <c r="O419" t="str">
        <f t="shared" si="28"/>
        <v/>
      </c>
    </row>
    <row r="420" spans="10:15" ht="12.75" x14ac:dyDescent="0.2">
      <c r="J420" t="str">
        <f t="shared" si="27"/>
        <v/>
      </c>
      <c r="O420" t="str">
        <f t="shared" si="28"/>
        <v/>
      </c>
    </row>
    <row r="421" spans="10:15" ht="12.75" x14ac:dyDescent="0.2">
      <c r="J421" t="str">
        <f t="shared" si="27"/>
        <v/>
      </c>
      <c r="O421" t="str">
        <f t="shared" si="28"/>
        <v/>
      </c>
    </row>
    <row r="422" spans="10:15" ht="12.75" x14ac:dyDescent="0.2">
      <c r="J422" t="str">
        <f t="shared" si="27"/>
        <v/>
      </c>
      <c r="O422" t="str">
        <f t="shared" si="28"/>
        <v/>
      </c>
    </row>
    <row r="423" spans="10:15" ht="12.75" x14ac:dyDescent="0.2">
      <c r="J423" t="str">
        <f t="shared" si="27"/>
        <v/>
      </c>
      <c r="O423" t="str">
        <f t="shared" si="28"/>
        <v/>
      </c>
    </row>
    <row r="424" spans="10:15" ht="12.75" x14ac:dyDescent="0.2">
      <c r="J424" t="str">
        <f t="shared" si="27"/>
        <v/>
      </c>
      <c r="O424" t="str">
        <f t="shared" si="28"/>
        <v/>
      </c>
    </row>
    <row r="425" spans="10:15" ht="12.75" x14ac:dyDescent="0.2">
      <c r="J425" t="str">
        <f t="shared" si="27"/>
        <v/>
      </c>
      <c r="O425" t="str">
        <f t="shared" si="28"/>
        <v/>
      </c>
    </row>
    <row r="426" spans="10:15" ht="12.75" x14ac:dyDescent="0.2">
      <c r="J426" t="str">
        <f t="shared" si="27"/>
        <v/>
      </c>
      <c r="O426" t="str">
        <f t="shared" si="28"/>
        <v/>
      </c>
    </row>
    <row r="427" spans="10:15" ht="12.75" x14ac:dyDescent="0.2">
      <c r="J427" t="str">
        <f t="shared" si="27"/>
        <v/>
      </c>
      <c r="O427" t="str">
        <f t="shared" si="28"/>
        <v/>
      </c>
    </row>
    <row r="428" spans="10:15" ht="12.75" x14ac:dyDescent="0.2">
      <c r="J428" t="str">
        <f t="shared" si="27"/>
        <v/>
      </c>
      <c r="O428" t="str">
        <f t="shared" si="28"/>
        <v/>
      </c>
    </row>
    <row r="429" spans="10:15" ht="12.75" x14ac:dyDescent="0.2">
      <c r="J429" t="str">
        <f t="shared" si="27"/>
        <v/>
      </c>
      <c r="O429" t="str">
        <f t="shared" si="28"/>
        <v/>
      </c>
    </row>
    <row r="430" spans="10:15" ht="12.75" x14ac:dyDescent="0.2">
      <c r="J430" t="str">
        <f t="shared" si="27"/>
        <v/>
      </c>
      <c r="O430" t="str">
        <f t="shared" si="28"/>
        <v/>
      </c>
    </row>
    <row r="431" spans="10:15" ht="12.75" x14ac:dyDescent="0.2">
      <c r="J431" t="str">
        <f t="shared" si="27"/>
        <v/>
      </c>
      <c r="O431" t="str">
        <f t="shared" si="28"/>
        <v/>
      </c>
    </row>
    <row r="432" spans="10:15" ht="12.75" x14ac:dyDescent="0.2">
      <c r="J432" t="str">
        <f t="shared" si="27"/>
        <v/>
      </c>
      <c r="O432" t="str">
        <f t="shared" si="28"/>
        <v/>
      </c>
    </row>
    <row r="433" spans="10:15" ht="12.75" x14ac:dyDescent="0.2">
      <c r="J433" t="str">
        <f t="shared" si="27"/>
        <v/>
      </c>
      <c r="O433" t="str">
        <f t="shared" si="28"/>
        <v/>
      </c>
    </row>
    <row r="434" spans="10:15" ht="12.75" x14ac:dyDescent="0.2">
      <c r="J434" t="str">
        <f t="shared" si="27"/>
        <v/>
      </c>
      <c r="O434" t="str">
        <f t="shared" si="28"/>
        <v/>
      </c>
    </row>
    <row r="435" spans="10:15" ht="12.75" x14ac:dyDescent="0.2">
      <c r="J435" t="str">
        <f t="shared" si="27"/>
        <v/>
      </c>
      <c r="O435" t="str">
        <f t="shared" si="28"/>
        <v/>
      </c>
    </row>
    <row r="436" spans="10:15" ht="12.75" x14ac:dyDescent="0.2">
      <c r="J436" t="str">
        <f t="shared" si="27"/>
        <v/>
      </c>
      <c r="O436" t="str">
        <f t="shared" si="28"/>
        <v/>
      </c>
    </row>
    <row r="437" spans="10:15" ht="12.75" x14ac:dyDescent="0.2">
      <c r="J437" t="str">
        <f t="shared" si="27"/>
        <v/>
      </c>
      <c r="O437" t="str">
        <f t="shared" si="28"/>
        <v/>
      </c>
    </row>
    <row r="438" spans="10:15" ht="12.75" x14ac:dyDescent="0.2">
      <c r="J438" t="str">
        <f t="shared" si="27"/>
        <v/>
      </c>
      <c r="O438" t="str">
        <f t="shared" si="28"/>
        <v/>
      </c>
    </row>
    <row r="439" spans="10:15" ht="12.75" x14ac:dyDescent="0.2">
      <c r="J439" t="str">
        <f t="shared" si="27"/>
        <v/>
      </c>
      <c r="O439" t="str">
        <f t="shared" si="28"/>
        <v/>
      </c>
    </row>
    <row r="440" spans="10:15" ht="12.75" x14ac:dyDescent="0.2">
      <c r="J440" t="str">
        <f t="shared" si="27"/>
        <v/>
      </c>
      <c r="O440" t="str">
        <f t="shared" si="28"/>
        <v/>
      </c>
    </row>
    <row r="441" spans="10:15" ht="12.75" x14ac:dyDescent="0.2">
      <c r="J441" t="str">
        <f t="shared" si="27"/>
        <v/>
      </c>
      <c r="O441" t="str">
        <f t="shared" si="28"/>
        <v/>
      </c>
    </row>
    <row r="442" spans="10:15" ht="12.75" x14ac:dyDescent="0.2">
      <c r="J442" t="str">
        <f t="shared" si="27"/>
        <v/>
      </c>
      <c r="O442" t="str">
        <f t="shared" si="28"/>
        <v/>
      </c>
    </row>
    <row r="443" spans="10:15" ht="12.75" x14ac:dyDescent="0.2">
      <c r="J443" t="str">
        <f t="shared" si="27"/>
        <v/>
      </c>
      <c r="O443" t="str">
        <f t="shared" si="28"/>
        <v/>
      </c>
    </row>
    <row r="444" spans="10:15" ht="12.75" x14ac:dyDescent="0.2">
      <c r="J444" t="str">
        <f t="shared" si="27"/>
        <v/>
      </c>
      <c r="O444" t="str">
        <f t="shared" si="28"/>
        <v/>
      </c>
    </row>
    <row r="445" spans="10:15" ht="12.75" x14ac:dyDescent="0.2">
      <c r="J445" t="str">
        <f t="shared" si="27"/>
        <v/>
      </c>
      <c r="O445" t="str">
        <f t="shared" si="28"/>
        <v/>
      </c>
    </row>
    <row r="446" spans="10:15" ht="12.75" x14ac:dyDescent="0.2">
      <c r="J446" t="str">
        <f t="shared" si="27"/>
        <v/>
      </c>
      <c r="O446" t="str">
        <f t="shared" si="28"/>
        <v/>
      </c>
    </row>
    <row r="447" spans="10:15" ht="12.75" x14ac:dyDescent="0.2">
      <c r="J447" t="str">
        <f t="shared" si="27"/>
        <v/>
      </c>
      <c r="O447" t="str">
        <f t="shared" si="28"/>
        <v/>
      </c>
    </row>
    <row r="448" spans="10:15" ht="12.75" x14ac:dyDescent="0.2">
      <c r="J448" t="str">
        <f t="shared" si="27"/>
        <v/>
      </c>
      <c r="O448" t="str">
        <f t="shared" si="28"/>
        <v/>
      </c>
    </row>
    <row r="449" spans="10:15" ht="12.75" x14ac:dyDescent="0.2">
      <c r="J449" t="str">
        <f t="shared" si="27"/>
        <v/>
      </c>
      <c r="O449" t="str">
        <f t="shared" si="28"/>
        <v/>
      </c>
    </row>
    <row r="450" spans="10:15" ht="12.75" x14ac:dyDescent="0.2">
      <c r="J450" t="str">
        <f t="shared" si="27"/>
        <v/>
      </c>
      <c r="O450" t="str">
        <f t="shared" si="28"/>
        <v/>
      </c>
    </row>
    <row r="451" spans="10:15" ht="12.75" x14ac:dyDescent="0.2">
      <c r="J451" t="str">
        <f t="shared" si="27"/>
        <v/>
      </c>
      <c r="O451" t="str">
        <f t="shared" si="28"/>
        <v/>
      </c>
    </row>
    <row r="452" spans="10:15" ht="12.75" x14ac:dyDescent="0.2">
      <c r="J452" t="str">
        <f t="shared" ref="J452:J500" si="29">IF(I452="", "", IFERROR(VLOOKUP(I452&amp;"", $B$4:$C$5000, 2, FALSE), "NO EXISTE"))</f>
        <v/>
      </c>
      <c r="O452" t="str">
        <f t="shared" ref="O452:O500" si="30">IF(N452="", "", IFERROR(VLOOKUP(N452&amp;"", $B$4:$C$5000, 2, FALSE), "NO EXISTE"))</f>
        <v/>
      </c>
    </row>
    <row r="453" spans="10:15" ht="12.75" x14ac:dyDescent="0.2">
      <c r="J453" t="str">
        <f t="shared" si="29"/>
        <v/>
      </c>
      <c r="O453" t="str">
        <f t="shared" si="30"/>
        <v/>
      </c>
    </row>
    <row r="454" spans="10:15" ht="12.75" x14ac:dyDescent="0.2">
      <c r="J454" t="str">
        <f t="shared" si="29"/>
        <v/>
      </c>
      <c r="O454" t="str">
        <f t="shared" si="30"/>
        <v/>
      </c>
    </row>
    <row r="455" spans="10:15" ht="12.75" x14ac:dyDescent="0.2">
      <c r="J455" t="str">
        <f t="shared" si="29"/>
        <v/>
      </c>
      <c r="O455" t="str">
        <f t="shared" si="30"/>
        <v/>
      </c>
    </row>
    <row r="456" spans="10:15" ht="12.75" x14ac:dyDescent="0.2">
      <c r="J456" t="str">
        <f t="shared" si="29"/>
        <v/>
      </c>
      <c r="O456" t="str">
        <f t="shared" si="30"/>
        <v/>
      </c>
    </row>
    <row r="457" spans="10:15" ht="12.75" x14ac:dyDescent="0.2">
      <c r="J457" t="str">
        <f t="shared" si="29"/>
        <v/>
      </c>
      <c r="O457" t="str">
        <f t="shared" si="30"/>
        <v/>
      </c>
    </row>
    <row r="458" spans="10:15" ht="12.75" x14ac:dyDescent="0.2">
      <c r="J458" t="str">
        <f t="shared" si="29"/>
        <v/>
      </c>
      <c r="O458" t="str">
        <f t="shared" si="30"/>
        <v/>
      </c>
    </row>
    <row r="459" spans="10:15" ht="12.75" x14ac:dyDescent="0.2">
      <c r="J459" t="str">
        <f t="shared" si="29"/>
        <v/>
      </c>
      <c r="O459" t="str">
        <f t="shared" si="30"/>
        <v/>
      </c>
    </row>
    <row r="460" spans="10:15" ht="12.75" x14ac:dyDescent="0.2">
      <c r="J460" t="str">
        <f t="shared" si="29"/>
        <v/>
      </c>
      <c r="O460" t="str">
        <f t="shared" si="30"/>
        <v/>
      </c>
    </row>
    <row r="461" spans="10:15" ht="12.75" x14ac:dyDescent="0.2">
      <c r="J461" t="str">
        <f t="shared" si="29"/>
        <v/>
      </c>
      <c r="O461" t="str">
        <f t="shared" si="30"/>
        <v/>
      </c>
    </row>
    <row r="462" spans="10:15" ht="12.75" x14ac:dyDescent="0.2">
      <c r="J462" t="str">
        <f t="shared" si="29"/>
        <v/>
      </c>
      <c r="O462" t="str">
        <f t="shared" si="30"/>
        <v/>
      </c>
    </row>
    <row r="463" spans="10:15" ht="12.75" x14ac:dyDescent="0.2">
      <c r="J463" t="str">
        <f t="shared" si="29"/>
        <v/>
      </c>
      <c r="O463" t="str">
        <f t="shared" si="30"/>
        <v/>
      </c>
    </row>
    <row r="464" spans="10:15" ht="12.75" x14ac:dyDescent="0.2">
      <c r="J464" t="str">
        <f t="shared" si="29"/>
        <v/>
      </c>
      <c r="O464" t="str">
        <f t="shared" si="30"/>
        <v/>
      </c>
    </row>
    <row r="465" spans="10:15" ht="12.75" x14ac:dyDescent="0.2">
      <c r="J465" t="str">
        <f t="shared" si="29"/>
        <v/>
      </c>
      <c r="O465" t="str">
        <f t="shared" si="30"/>
        <v/>
      </c>
    </row>
    <row r="466" spans="10:15" ht="12.75" x14ac:dyDescent="0.2">
      <c r="J466" t="str">
        <f t="shared" si="29"/>
        <v/>
      </c>
      <c r="O466" t="str">
        <f t="shared" si="30"/>
        <v/>
      </c>
    </row>
    <row r="467" spans="10:15" ht="12.75" x14ac:dyDescent="0.2">
      <c r="J467" t="str">
        <f t="shared" si="29"/>
        <v/>
      </c>
      <c r="O467" t="str">
        <f t="shared" si="30"/>
        <v/>
      </c>
    </row>
    <row r="468" spans="10:15" ht="12.75" x14ac:dyDescent="0.2">
      <c r="J468" t="str">
        <f t="shared" si="29"/>
        <v/>
      </c>
      <c r="O468" t="str">
        <f t="shared" si="30"/>
        <v/>
      </c>
    </row>
    <row r="469" spans="10:15" ht="12.75" x14ac:dyDescent="0.2">
      <c r="J469" t="str">
        <f t="shared" si="29"/>
        <v/>
      </c>
      <c r="O469" t="str">
        <f t="shared" si="30"/>
        <v/>
      </c>
    </row>
    <row r="470" spans="10:15" ht="12.75" x14ac:dyDescent="0.2">
      <c r="J470" t="str">
        <f t="shared" si="29"/>
        <v/>
      </c>
      <c r="O470" t="str">
        <f t="shared" si="30"/>
        <v/>
      </c>
    </row>
    <row r="471" spans="10:15" ht="12.75" x14ac:dyDescent="0.2">
      <c r="J471" t="str">
        <f t="shared" si="29"/>
        <v/>
      </c>
      <c r="O471" t="str">
        <f t="shared" si="30"/>
        <v/>
      </c>
    </row>
    <row r="472" spans="10:15" ht="12.75" x14ac:dyDescent="0.2">
      <c r="J472" t="str">
        <f t="shared" si="29"/>
        <v/>
      </c>
      <c r="O472" t="str">
        <f t="shared" si="30"/>
        <v/>
      </c>
    </row>
    <row r="473" spans="10:15" ht="12.75" x14ac:dyDescent="0.2">
      <c r="J473" t="str">
        <f t="shared" si="29"/>
        <v/>
      </c>
      <c r="O473" t="str">
        <f t="shared" si="30"/>
        <v/>
      </c>
    </row>
    <row r="474" spans="10:15" ht="12.75" x14ac:dyDescent="0.2">
      <c r="J474" t="str">
        <f t="shared" si="29"/>
        <v/>
      </c>
      <c r="O474" t="str">
        <f t="shared" si="30"/>
        <v/>
      </c>
    </row>
    <row r="475" spans="10:15" ht="12.75" x14ac:dyDescent="0.2">
      <c r="J475" t="str">
        <f t="shared" si="29"/>
        <v/>
      </c>
      <c r="O475" t="str">
        <f t="shared" si="30"/>
        <v/>
      </c>
    </row>
    <row r="476" spans="10:15" ht="12.75" x14ac:dyDescent="0.2">
      <c r="J476" t="str">
        <f t="shared" si="29"/>
        <v/>
      </c>
      <c r="O476" t="str">
        <f t="shared" si="30"/>
        <v/>
      </c>
    </row>
    <row r="477" spans="10:15" ht="12.75" x14ac:dyDescent="0.2">
      <c r="J477" t="str">
        <f t="shared" si="29"/>
        <v/>
      </c>
      <c r="O477" t="str">
        <f t="shared" si="30"/>
        <v/>
      </c>
    </row>
    <row r="478" spans="10:15" ht="12.75" x14ac:dyDescent="0.2">
      <c r="J478" t="str">
        <f t="shared" si="29"/>
        <v/>
      </c>
      <c r="O478" t="str">
        <f t="shared" si="30"/>
        <v/>
      </c>
    </row>
    <row r="479" spans="10:15" ht="12.75" x14ac:dyDescent="0.2">
      <c r="J479" t="str">
        <f t="shared" si="29"/>
        <v/>
      </c>
      <c r="O479" t="str">
        <f t="shared" si="30"/>
        <v/>
      </c>
    </row>
    <row r="480" spans="10:15" ht="12.75" x14ac:dyDescent="0.2">
      <c r="J480" t="str">
        <f t="shared" si="29"/>
        <v/>
      </c>
      <c r="O480" t="str">
        <f t="shared" si="30"/>
        <v/>
      </c>
    </row>
    <row r="481" spans="10:15" ht="12.75" x14ac:dyDescent="0.2">
      <c r="J481" t="str">
        <f t="shared" si="29"/>
        <v/>
      </c>
      <c r="O481" t="str">
        <f t="shared" si="30"/>
        <v/>
      </c>
    </row>
    <row r="482" spans="10:15" ht="12.75" x14ac:dyDescent="0.2">
      <c r="J482" t="str">
        <f t="shared" si="29"/>
        <v/>
      </c>
      <c r="O482" t="str">
        <f t="shared" si="30"/>
        <v/>
      </c>
    </row>
    <row r="483" spans="10:15" ht="12.75" x14ac:dyDescent="0.2">
      <c r="J483" t="str">
        <f t="shared" si="29"/>
        <v/>
      </c>
      <c r="O483" t="str">
        <f t="shared" si="30"/>
        <v/>
      </c>
    </row>
    <row r="484" spans="10:15" ht="12.75" x14ac:dyDescent="0.2">
      <c r="J484" t="str">
        <f t="shared" si="29"/>
        <v/>
      </c>
      <c r="O484" t="str">
        <f t="shared" si="30"/>
        <v/>
      </c>
    </row>
    <row r="485" spans="10:15" ht="12.75" x14ac:dyDescent="0.2">
      <c r="J485" t="str">
        <f t="shared" si="29"/>
        <v/>
      </c>
      <c r="O485" t="str">
        <f t="shared" si="30"/>
        <v/>
      </c>
    </row>
    <row r="486" spans="10:15" ht="12.75" x14ac:dyDescent="0.2">
      <c r="J486" t="str">
        <f t="shared" si="29"/>
        <v/>
      </c>
      <c r="O486" t="str">
        <f t="shared" si="30"/>
        <v/>
      </c>
    </row>
    <row r="487" spans="10:15" ht="12.75" x14ac:dyDescent="0.2">
      <c r="J487" t="str">
        <f t="shared" si="29"/>
        <v/>
      </c>
      <c r="O487" t="str">
        <f t="shared" si="30"/>
        <v/>
      </c>
    </row>
    <row r="488" spans="10:15" ht="12.75" x14ac:dyDescent="0.2">
      <c r="J488" t="str">
        <f t="shared" si="29"/>
        <v/>
      </c>
      <c r="O488" t="str">
        <f t="shared" si="30"/>
        <v/>
      </c>
    </row>
    <row r="489" spans="10:15" ht="12.75" x14ac:dyDescent="0.2">
      <c r="J489" t="str">
        <f t="shared" si="29"/>
        <v/>
      </c>
      <c r="O489" t="str">
        <f t="shared" si="30"/>
        <v/>
      </c>
    </row>
    <row r="490" spans="10:15" ht="12.75" x14ac:dyDescent="0.2">
      <c r="J490" t="str">
        <f t="shared" si="29"/>
        <v/>
      </c>
      <c r="O490" t="str">
        <f t="shared" si="30"/>
        <v/>
      </c>
    </row>
    <row r="491" spans="10:15" ht="12.75" x14ac:dyDescent="0.2">
      <c r="J491" t="str">
        <f t="shared" si="29"/>
        <v/>
      </c>
      <c r="O491" t="str">
        <f t="shared" si="30"/>
        <v/>
      </c>
    </row>
    <row r="492" spans="10:15" ht="12.75" x14ac:dyDescent="0.2">
      <c r="J492" t="str">
        <f t="shared" si="29"/>
        <v/>
      </c>
      <c r="O492" t="str">
        <f t="shared" si="30"/>
        <v/>
      </c>
    </row>
    <row r="493" spans="10:15" ht="12.75" x14ac:dyDescent="0.2">
      <c r="J493" t="str">
        <f t="shared" si="29"/>
        <v/>
      </c>
      <c r="O493" t="str">
        <f t="shared" si="30"/>
        <v/>
      </c>
    </row>
    <row r="494" spans="10:15" ht="12.75" x14ac:dyDescent="0.2">
      <c r="J494" t="str">
        <f t="shared" si="29"/>
        <v/>
      </c>
      <c r="O494" t="str">
        <f t="shared" si="30"/>
        <v/>
      </c>
    </row>
    <row r="495" spans="10:15" ht="12.75" x14ac:dyDescent="0.2">
      <c r="J495" t="str">
        <f t="shared" si="29"/>
        <v/>
      </c>
      <c r="O495" t="str">
        <f t="shared" si="30"/>
        <v/>
      </c>
    </row>
    <row r="496" spans="10:15" ht="12.75" x14ac:dyDescent="0.2">
      <c r="J496" t="str">
        <f t="shared" si="29"/>
        <v/>
      </c>
      <c r="O496" t="str">
        <f t="shared" si="30"/>
        <v/>
      </c>
    </row>
    <row r="497" spans="10:15" ht="12.75" x14ac:dyDescent="0.2">
      <c r="J497" t="str">
        <f t="shared" si="29"/>
        <v/>
      </c>
      <c r="O497" t="str">
        <f t="shared" si="30"/>
        <v/>
      </c>
    </row>
    <row r="498" spans="10:15" ht="12.75" x14ac:dyDescent="0.2">
      <c r="J498" t="str">
        <f t="shared" si="29"/>
        <v/>
      </c>
      <c r="O498" t="str">
        <f t="shared" si="30"/>
        <v/>
      </c>
    </row>
    <row r="499" spans="10:15" ht="12.75" x14ac:dyDescent="0.2">
      <c r="J499" t="str">
        <f t="shared" si="29"/>
        <v/>
      </c>
      <c r="O499" t="str">
        <f t="shared" si="30"/>
        <v/>
      </c>
    </row>
    <row r="500" spans="10:15" ht="12.75" x14ac:dyDescent="0.2">
      <c r="J500" t="str">
        <f t="shared" si="29"/>
        <v/>
      </c>
      <c r="O500" t="str">
        <f t="shared" si="30"/>
        <v/>
      </c>
    </row>
  </sheetData>
  <mergeCells count="3">
    <mergeCell ref="B2:F2"/>
    <mergeCell ref="I2:L2"/>
    <mergeCell ref="N2:Q2"/>
  </mergeCells>
  <pageMargins left="0.7" right="0.7" top="0.75" bottom="0.75" header="0.3" footer="0.3"/>
  <pageSetup orientation="portrait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SEPTIEMBRE 2026</vt:lpstr>
      <vt:lpstr>OCTUBRE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JIMENEZ</dc:creator>
  <cp:lastModifiedBy>Santiago Calderón Torres</cp:lastModifiedBy>
  <dcterms:created xsi:type="dcterms:W3CDTF">2026-08-30T06:04:47Z</dcterms:created>
  <dcterms:modified xsi:type="dcterms:W3CDTF">2026-09-17T23:21:33Z</dcterms:modified>
</cp:coreProperties>
</file>